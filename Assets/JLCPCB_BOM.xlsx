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LCPCB BOM Tool - BOM Matching" sheetId="1" r:id="rId5"/>
    <sheet name="Sheet 1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<sst xmlns="http://schemas.openxmlformats.org/spreadsheetml/2006/main" uniqueCount="347">
  <si>
    <t>JLCPCB BOM Tool - BOM Matching</t>
  </si>
  <si>
    <t>BOM name：bom-JLCPCB Assembly Order.xlsx</t>
  </si>
  <si>
    <t>Download Time：2026-04-15 00:02:17</t>
  </si>
  <si>
    <t>* Our matching results are updated in real-time, but stock and prices may change. 
If it's been over 24 hours, please re-match before placing your order.</t>
  </si>
  <si>
    <t>PCB Assembled Qty：5</t>
  </si>
  <si>
    <t>Est. Total Price：143.8173
(Pre-order parts require a quotation for final pricing.)</t>
  </si>
  <si>
    <t>Your BOM</t>
  </si>
  <si>
    <t>Matched Parts</t>
  </si>
  <si>
    <t>Order Information</t>
  </si>
  <si>
    <t>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</si>
  <si>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</si>
  <si>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</si>
  <si>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</si>
  <si>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</si>
  <si>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</si>
  <si>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</si>
  <si>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</si>
  <si>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</si>
  <si>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</si>
  <si>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</si>
  <si>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Source</t>
  </si>
  <si>
    <t>Lib Type</t>
  </si>
  <si>
    <t>MOQ</t>
  </si>
  <si>
    <t>Availability</t>
  </si>
  <si>
    <t>My Parts(JLCPCB Parts)</t>
  </si>
  <si>
    <t>My Parts(Global sourcing &amp; consigned parts)</t>
  </si>
  <si>
    <t>Rec. Order Qty</t>
  </si>
  <si>
    <t>Unit Price ($)</t>
  </si>
  <si>
    <t>Total Price ($)</t>
  </si>
  <si>
    <t>IC3</t>
  </si>
  <si>
    <t>BMA423</t>
  </si>
  <si>
    <t>LGA12</t>
  </si>
  <si>
    <t>Unconfirmed</t>
  </si>
  <si>
    <t>BMA421</t>
  </si>
  <si>
    <t>Bosch Sensortec</t>
  </si>
  <si>
    <t>LGA-12(2x2) Accelerometers ROHS</t>
  </si>
  <si>
    <t>Accelerometers</t>
  </si>
  <si>
    <t>C5242966</t>
  </si>
  <si>
    <t>https://jlcpcb.com/partdetail/BoschSensortec-BMA421/C5242966</t>
  </si>
  <si>
    <t>In-stock</t>
  </si>
  <si>
    <t>Extended</t>
  </si>
  <si>
    <t>C23,C27,C32,C34,C42</t>
  </si>
  <si>
    <t>0.1uF</t>
  </si>
  <si>
    <t>0201</t>
  </si>
  <si>
    <t>0201X104K100NT</t>
  </si>
  <si>
    <t>FH (Guangdong Fenghua Advanced Tech)</t>
  </si>
  <si>
    <t>100nF 10V X5R ±10% 0201 Multilayer Ceramic Capacitors MLCC - SMD/SMT ROHS</t>
  </si>
  <si>
    <t>Multilayer Ceramic Capacitors MLCC - SMD/SMT</t>
  </si>
  <si>
    <t>1.The comment (0201X104K100NT) of this part does not match the one (0.1uF) provided in your BOM. Please confirm;</t>
  </si>
  <si>
    <t>C284966</t>
  </si>
  <si>
    <t>https://jlcpcb.com/partdetail/270391-0201X104K100NT/C284966</t>
  </si>
  <si>
    <t>C2-EP-DR</t>
  </si>
  <si>
    <t>4.7uF/25V</t>
  </si>
  <si>
    <t>0402</t>
  </si>
  <si>
    <t>CGA0402X5R475M250GT</t>
  </si>
  <si>
    <t>HRE</t>
  </si>
  <si>
    <t>25V 4.7uF X5R ±20% 0402 Multilayer Ceramic Capacitors MLCC - SMD/SMT ROHS</t>
  </si>
  <si>
    <t>1.The comment (CGA0402X5R475M250GT) of this part does not match the one (4.7uF/25V) provided in your BOM. Please confirm;</t>
  </si>
  <si>
    <t>C6119795</t>
  </si>
  <si>
    <t>https://jlcpcb.com/partdetail/HRE-CGA0402X5R475M250GT/C6119795</t>
  </si>
  <si>
    <t>J4</t>
  </si>
  <si>
    <t>KH-TYPE-C-16P</t>
  </si>
  <si>
    <t>SMD</t>
  </si>
  <si>
    <t>Select by System</t>
  </si>
  <si>
    <t>Shenzhen Kinghelm Elec</t>
  </si>
  <si>
    <t>-40℃~+85℃ 1 10,000 cycles 16P 30V 3A 7.81mm Female Surface Mount, Right Angle Type-C SMD USB Connectors ROHS</t>
  </si>
  <si>
    <t>USB Connectors</t>
  </si>
  <si>
    <t>C709357</t>
  </si>
  <si>
    <t>https://jlcpcb.com/partdetail/Shenzhen_KinghelmElec-KH_TYPE_C16P/C709357</t>
  </si>
  <si>
    <t>IC9</t>
  </si>
  <si>
    <t>RT6160AWSC</t>
  </si>
  <si>
    <t>15-UFBGA,WLCSP</t>
  </si>
  <si>
    <t>Richtek Tech</t>
  </si>
  <si>
    <t>-40℃~+125℃ 1 1uA 2.025V~5.2V 2.2MHz 2.2V~5.5V 3A Adjustable Buck-Boost Buck-Boost Built-in Yes WLCSP-15B(2.3x1.4) DC-DC Converters ROHS</t>
  </si>
  <si>
    <t>DC-DC Converters</t>
  </si>
  <si>
    <t>C7065276</t>
  </si>
  <si>
    <t>https://jlcpcb.com/partdetail/RichtekTech-RT6160AWSC/C7065276</t>
  </si>
  <si>
    <t>L2</t>
  </si>
  <si>
    <t>10uH</t>
  </si>
  <si>
    <t>0603</t>
  </si>
  <si>
    <t>SDFL1608S100KTF</t>
  </si>
  <si>
    <t>Sunlord</t>
  </si>
  <si>
    <t>1.85Ω 10uH 17MHz 30@2MHz 3mA ±10% 0603 Inductors (SMD) ROHS</t>
  </si>
  <si>
    <t>Inductors (SMD)</t>
  </si>
  <si>
    <t>1.The comment (SDFL1608S100KTF) of this part does not match the one (10uH) provided in your BOM. Please confirm;</t>
  </si>
  <si>
    <t>C1035</t>
  </si>
  <si>
    <t>https://jlcpcb.com/partdetail/Sunlord-SDFL1608S100KTF/C1035</t>
  </si>
  <si>
    <t>Basic</t>
  </si>
  <si>
    <t>R_TYPE_SEL</t>
  </si>
  <si>
    <t>2.2Ω</t>
  </si>
  <si>
    <t>0201WMF220KTEE</t>
  </si>
  <si>
    <t>UNI-ROYAL(Uniroyal Elec)</t>
  </si>
  <si>
    <t>-100ppm/℃~+350ppm/℃ -55℃~+155℃ 2.2Ω 25V 50mW Thick Film Resistor ±1% 0201 Chip Resistor - Surface Mount ROHS</t>
  </si>
  <si>
    <t>Chip Resistor - Surface Mount</t>
  </si>
  <si>
    <t>C473517</t>
  </si>
  <si>
    <t>https://jlcpcb.com/partdetail/479910-0201WMF220KTEE/C473517</t>
  </si>
  <si>
    <t>SW_DN,SW_ENT,SW_UP</t>
  </si>
  <si>
    <t>EVPAKE31A</t>
  </si>
  <si>
    <t>SMD,3.9x2.9mm</t>
  </si>
  <si>
    <t>PANASONIC</t>
  </si>
  <si>
    <t>-40℃~+85℃ 1.6N 1.6mm 15V 2.9mm 20mA 3.9mm 500,000 Cycles IP67 J-Lead Rectangular Button SPST Surface Mount,Vertical White With Bracket SMD,3.9x2.9mm Tactile Switches ROHS</t>
  </si>
  <si>
    <t>Tactile Switches</t>
  </si>
  <si>
    <t>1.There may be multiple types of parts, but one type of part has been matched. Please check.;</t>
  </si>
  <si>
    <t>C569760</t>
  </si>
  <si>
    <t>https://jlcpcb.com/partdetail/PANASONIC-EVPAKE31A/C569760</t>
  </si>
  <si>
    <t>C5,C7,C8,C12,C19</t>
  </si>
  <si>
    <t>100nF</t>
  </si>
  <si>
    <t>GRM033R61A104KE15D</t>
  </si>
  <si>
    <t>Murata Electronics</t>
  </si>
  <si>
    <t>1.The comment (GRM033R61A104KE15D) of this part does not match the one (100nF) provided in your BOM. Please confirm;</t>
  </si>
  <si>
    <t>C76934</t>
  </si>
  <si>
    <t>https://jlcpcb.com/partdetail/MurataElectronics-GRM033R61A104KE15D/C76934</t>
  </si>
  <si>
    <t>J1</t>
  </si>
  <si>
    <t>5034802400</t>
  </si>
  <si>
    <t>SMD,P=0.5mm, right angle</t>
  </si>
  <si>
    <t>MOLEX</t>
  </si>
  <si>
    <t>-40℃~+105℃ 0.3mm 0.5mm 1mm 24P 500mA 50V Double-Sided Contacts, Top and Bottom Entry Gold Hinged Lid Phosphor bronze Surface Mount, Right Angle SMD,P=0.5mm,Surface Mount，Right Angle FFC, FPC (Flat Flexible) Connector Assemblies ROHS</t>
  </si>
  <si>
    <t>FFC, FPC (Flat Flexible) Connector Assemblies</t>
  </si>
  <si>
    <t>C122434</t>
  </si>
  <si>
    <t>https://jlcpcb.com/partdetail/MOLEX-5034802400/C122434</t>
  </si>
  <si>
    <t>X2</t>
  </si>
  <si>
    <t>32.768kHz</t>
  </si>
  <si>
    <t>SMD,3.2x1.5mm</t>
  </si>
  <si>
    <t>CM8V-T1A-32.768KHZ-9PF-20PPM-TB-QA</t>
  </si>
  <si>
    <t>Micro Crystal</t>
  </si>
  <si>
    <t>-40℃~+125℃ 32.768kHz 70kΩ 9pF ±20ppm SMD2012-2P Crystals ROHS</t>
  </si>
  <si>
    <t>Crystals</t>
  </si>
  <si>
    <t>C5366546</t>
  </si>
  <si>
    <t>https://jlcpcb.com/partdetail/C5366546</t>
  </si>
  <si>
    <t>EPD_C5</t>
  </si>
  <si>
    <t>0.1uF/50V</t>
  </si>
  <si>
    <t>BQ25180YBGR</t>
  </si>
  <si>
    <t>Texas Instruments</t>
  </si>
  <si>
    <t>-40℃~+125℃ 1 1A 3.2uA 4.65V 5.5V Charging IC I2C Lithium Battery、LiFePO4 Battery Support 恒流充电、恒压充电、涓流充电、自动再充电、充电终止、可编程充电电流、过放保护、Overcurrent Protection、Short-Circuit  Protection、过压保护 DSBGA-8(1.1x1.6) Battery Management ROHS</t>
  </si>
  <si>
    <t>Battery Management</t>
  </si>
  <si>
    <t>1.The footprint (DSBGA-8(1.1x1.6)) of this part does not match the one (0402) provided in your BOM. Please confirm;
2.Multiple lines in the BOM have been matched to the same part. Please check if the matching is correct. ;</t>
  </si>
  <si>
    <t>C3682423</t>
  </si>
  <si>
    <t>https://jlcpcb.com/partdetail/TexasInstruments-BQ25180YBGR/C3682423</t>
  </si>
  <si>
    <t>IC2</t>
  </si>
  <si>
    <t>DRV2605YZFR</t>
  </si>
  <si>
    <t>BGA9</t>
  </si>
  <si>
    <t>-40℃~+85℃ 2.5V~5.5V I2C DSBGA-9 Brushed DC Motor Drivers ROHS</t>
  </si>
  <si>
    <t>Brushed DC Motor Drivers</t>
  </si>
  <si>
    <t>C81079</t>
  </si>
  <si>
    <t>https://jlcpcb.com/partdetail/TexasInstruments-DRV2605YZFR/C81079</t>
  </si>
  <si>
    <t>ANT1</t>
  </si>
  <si>
    <t>2450AT18B100E</t>
  </si>
  <si>
    <t>1206</t>
  </si>
  <si>
    <t>Johanson Dielectrics</t>
  </si>
  <si>
    <t>-45℃~+125℃ 0.5dBi 1.3mm 1.6mm 100MHz 2.45GHz 2W 3.2mm 50Ω Patch Antenna 1206 Antennas ROHS</t>
  </si>
  <si>
    <t>Antennas</t>
  </si>
  <si>
    <t>C2917717</t>
  </si>
  <si>
    <t>https://jlcpcb.com/partdetail/JohansonDielectrics-2450AT18B100E/C2917717</t>
  </si>
  <si>
    <t>Q3</t>
  </si>
  <si>
    <t>SI1308EDL-T1-GE3</t>
  </si>
  <si>
    <t>SOT-323</t>
  </si>
  <si>
    <t>Vishay Intertech</t>
  </si>
  <si>
    <t>-55℃~+150℃ 1 N-channel 1.4nC@10V 1.5A 1.5V 105pF 11pF 132mΩ@10V 23pF 30V 400mW N-Channel SOT-323 MOSFETs ROHS</t>
  </si>
  <si>
    <t>MOSFETs</t>
  </si>
  <si>
    <t>C469327</t>
  </si>
  <si>
    <t>https://jlcpcb.com/partdetail/VishayIntertech-SI1308EDL_T1GE3/C469327</t>
  </si>
  <si>
    <t>C25,C33</t>
  </si>
  <si>
    <t>22uF</t>
  </si>
  <si>
    <t>GRM155R60J226ME11D</t>
  </si>
  <si>
    <t>22uF 6.3V X5R ±20% 0402 Multilayer Ceramic Capacitors MLCC - SMD/SMT ROHS</t>
  </si>
  <si>
    <t>1.The comment (GRM155R60J226ME11D) of this part does not match the one (22uF) provided in your BOM. Please confirm;</t>
  </si>
  <si>
    <t>C415703</t>
  </si>
  <si>
    <t>https://jlcpcb.com/partdetail/408393-GRM155R60J226ME11D/C415703</t>
  </si>
  <si>
    <t>EPD_C1,EPD_C2,EPD_C6,EPD_C7,EPD_C8,EPD_C9,EPD_C10,EPD_C11,EPD_C12</t>
  </si>
  <si>
    <t>1uF/50V</t>
  </si>
  <si>
    <t>GRM155R61H105KE05D</t>
  </si>
  <si>
    <t>1uF 50V X5R ±10% 0402 Multilayer Ceramic Capacitors MLCC - SMD/SMT ROHS</t>
  </si>
  <si>
    <t>C1518208</t>
  </si>
  <si>
    <t>https://jlcpcb.com/partdetail/1609005-GRM155R61H105KE05D/C1518208</t>
  </si>
  <si>
    <t>L3</t>
  </si>
  <si>
    <t>15nH</t>
  </si>
  <si>
    <t>SDCL1005C15NJTDF</t>
  </si>
  <si>
    <t>15nH 2.3GHz 300mA 500mΩ 8@100MHz ±5% 0402 Inductors (SMD) ROHS</t>
  </si>
  <si>
    <t>1.The comment (SDCL1005C15NJTDF) of this part does not match the one (15nH) provided in your BOM. Please confirm;</t>
  </si>
  <si>
    <t>C27143</t>
  </si>
  <si>
    <t>https://jlcpcb.com/partdetail/Sunlord-SDCL1005C15NJTDF/C27143</t>
  </si>
  <si>
    <t>R2,R3,R4</t>
  </si>
  <si>
    <t>0Ω</t>
  </si>
  <si>
    <t>0201WMJ0000TEE</t>
  </si>
  <si>
    <t>-55℃~+155℃ 0Ω 25V 50mW Thick Film Resistor ±5% 0201 Chip Resistor - Surface Mount ROHS</t>
  </si>
  <si>
    <t>C270337</t>
  </si>
  <si>
    <t>https://jlcpcb.com/partdetail/259867-0201WMJ0000TEE/C270337</t>
  </si>
  <si>
    <t>C16</t>
  </si>
  <si>
    <t>47nF</t>
  </si>
  <si>
    <t>CC0201KRX5R7BB473</t>
  </si>
  <si>
    <t>YAGEO</t>
  </si>
  <si>
    <t>16V 47nF X5R ±10% 0201 Multilayer Ceramic Capacitors MLCC - SMD/SMT ROHS</t>
  </si>
  <si>
    <t>1.The comment (CC0201KRX5R7BB473) of this part does not match the one (47nF) provided in your BOM. Please confirm;</t>
  </si>
  <si>
    <t>C505465</t>
  </si>
  <si>
    <t>https://jlcpcb.com/partdetail/YAGEO-CC0201KRX5R7BB473/C505465</t>
  </si>
  <si>
    <t>C6,C14,C20,C21,C43</t>
  </si>
  <si>
    <t>4.7uF</t>
  </si>
  <si>
    <t>CL05A475MP5NRNC</t>
  </si>
  <si>
    <t>Samsung Electro-Mechanics</t>
  </si>
  <si>
    <t>10V 4.7uF X5R ±20% 0402 Multilayer Ceramic Capacitors MLCC - SMD/SMT ROHS</t>
  </si>
  <si>
    <t>1.The comment (CL05A475MP5NRNC) of this part does not match the one (4.7uF) provided in your BOM. Please confirm;</t>
  </si>
  <si>
    <t>C23733</t>
  </si>
  <si>
    <t>https://jlcpcb.com/partdetail/24469-CL05A475MP5NRNC/C23733</t>
  </si>
  <si>
    <t>C15,C29,C30,C31,C37,C38</t>
  </si>
  <si>
    <t>1uF</t>
  </si>
  <si>
    <t>CL05A105KA5NQNC</t>
  </si>
  <si>
    <t>1uF 25V X5R ±10% 0402 Multilayer Ceramic Capacitors MLCC - SMD/SMT ROHS</t>
  </si>
  <si>
    <t>1.The comment (CL05A105KA5NQNC) of this part does not match the one (1uF) provided in your BOM. Please confirm;</t>
  </si>
  <si>
    <t>C52923</t>
  </si>
  <si>
    <t>https://jlcpcb.com/partdetail/53938-CL05A105KA5NQNC/C52923</t>
  </si>
  <si>
    <t>L1</t>
  </si>
  <si>
    <t>3.9nH</t>
  </si>
  <si>
    <t>SDCL1005C3N9STDF</t>
  </si>
  <si>
    <t>200mΩ 3.9nH 300mA 4GHz 8@100MHz Multilayer inductor 0402 Inductors (SMD) ROHS</t>
  </si>
  <si>
    <t>1.The comment (SDCL1005C3N9STDF) of this part does not match the one (3.9nH) provided in your BOM. Please confirm;</t>
  </si>
  <si>
    <t>C14033</t>
  </si>
  <si>
    <t>https://jlcpcb.com/partdetail/Sunlord-SDCL1005C3N9STDF/C14033</t>
  </si>
  <si>
    <t>R1_USB,R2_USB</t>
  </si>
  <si>
    <t>5.1kΩ</t>
  </si>
  <si>
    <t>CR0201FH5101G</t>
  </si>
  <si>
    <t>LIZ Elec</t>
  </si>
  <si>
    <t>-55℃~+125℃ 25V 5.1kΩ 50mW Thick Film Resistor ±1% ±250ppm/℃ 0201 Chip Resistor - Surface Mount ROHS</t>
  </si>
  <si>
    <t>C100142</t>
  </si>
  <si>
    <t>https://jlcpcb.com/partdetail/LIZElec-CR0201FH5101G/C100142</t>
  </si>
  <si>
    <t>C3,C4</t>
  </si>
  <si>
    <t>1pF</t>
  </si>
  <si>
    <t>GRM0335C1H1R0BA01D</t>
  </si>
  <si>
    <t>1pF 50V C0G 0201 Multilayer Ceramic Capacitors MLCC - SMD/SMT ROHS</t>
  </si>
  <si>
    <t>1.The comment (GRM0335C1H1R0BA01D) of this part does not match the one (1pF) provided in your BOM. Please confirm;</t>
  </si>
  <si>
    <t>C85893</t>
  </si>
  <si>
    <t>https://jlcpcb.com/partdetail/MurataElectronics-GRM0335C1H1R0BA01D/C85893</t>
  </si>
  <si>
    <t>C1-EP-DR,C24,C39</t>
  </si>
  <si>
    <t>10uF</t>
  </si>
  <si>
    <t>CL05A106MQ5NUNC</t>
  </si>
  <si>
    <t>10uF 6.3V X5R ±20% 0402 Multilayer Ceramic Capacitors MLCC - SMD/SMT ROHS</t>
  </si>
  <si>
    <t>1.The comment (CL05A106MQ5NUNC) of this part does not match the one (10uF) provided in your BOM. Please confirm;
2.There may be multiple types of parts, but one type of part has been matched. Please check.;</t>
  </si>
  <si>
    <t>C15525</t>
  </si>
  <si>
    <t>https://jlcpcb.com/partdetail/16204-CL05A106MQ5NUNC/C15525</t>
  </si>
  <si>
    <t>C1,C2,C17,C18</t>
  </si>
  <si>
    <t>12pF</t>
  </si>
  <si>
    <t>0201CG120J500NT</t>
  </si>
  <si>
    <t>12pF 50V C0G ±5% 0201 Multilayer Ceramic Capacitors MLCC - SMD/SMT ROHS</t>
  </si>
  <si>
    <t>1.The comment (0201CG120J500NT) of this part does not match the one (12pF) provided in your BOM. Please confirm;</t>
  </si>
  <si>
    <t>C50391</t>
  </si>
  <si>
    <t>https://jlcpcb.com/partdetail/51400-0201CG120J500NT/C50391</t>
  </si>
  <si>
    <t>IC1</t>
  </si>
  <si>
    <t>BGA8</t>
  </si>
  <si>
    <t>1.Multiple lines in the BOM have been matched to the same part. Please check if the matching is correct. ;</t>
  </si>
  <si>
    <t>U3</t>
  </si>
  <si>
    <t>MAX17048G+T10</t>
  </si>
  <si>
    <t>DFN-8-EP</t>
  </si>
  <si>
    <t>Analog Devices Inc./Maxim Integrated</t>
  </si>
  <si>
    <t>-40℃~+85℃ 1 2.5V~4.5V 3uA I2C Lithium Battery Not supported Not supported DFN-8-EP(2x2) Battery Management ROHS</t>
  </si>
  <si>
    <t>C2682616</t>
  </si>
  <si>
    <t>https://jlcpcb.com/partdetail/2777647-MAX17048GT10/C2682616</t>
  </si>
  <si>
    <t>X1</t>
  </si>
  <si>
    <t>32MHz</t>
  </si>
  <si>
    <t>4-SMD,2x1.6mm</t>
  </si>
  <si>
    <t>NX2016SA-32MHZ-STD-CZS-5</t>
  </si>
  <si>
    <t>NDK</t>
  </si>
  <si>
    <t>Crystal Oscillator SMD2016-4P Crystals ROHS</t>
  </si>
  <si>
    <t>C843260</t>
  </si>
  <si>
    <t>https://jlcpcb.com/partdetail/NDK-NX2016SA_32MHZ_STD_CZS5/C843260</t>
  </si>
  <si>
    <t>R17,R18</t>
  </si>
  <si>
    <t>3.3kΩ</t>
  </si>
  <si>
    <t>0201WMJ0332TEE</t>
  </si>
  <si>
    <t>-55℃~+155℃ 25V 3.3kΩ 50mW Thick Film Resistor ±200ppm/℃ ±5% 0201 Chip Resistor - Surface Mount ROHS</t>
  </si>
  <si>
    <t>C270318</t>
  </si>
  <si>
    <t>https://jlcpcb.com/partdetail/259848-0201WMJ0332TEE/C270318</t>
  </si>
  <si>
    <t>D2,D4,D5</t>
  </si>
  <si>
    <t>MBR0530</t>
  </si>
  <si>
    <t>SOD-123</t>
  </si>
  <si>
    <t>Jiangsu Changjing Electronics Technology Co., Ltd.</t>
  </si>
  <si>
    <t>1 Independent 30V 5.5A 500mA 550mV@500mA 80uA@30V SOD-123 Schottky Diodes ROHS</t>
  </si>
  <si>
    <t>Schottky Diodes</t>
  </si>
  <si>
    <t>C77336</t>
  </si>
  <si>
    <t>https://jlcpcb.com/partdetail/78464-MBR0530/C77336</t>
  </si>
  <si>
    <t>L7</t>
  </si>
  <si>
    <t>0.47uH/6.5A/13mΩ</t>
  </si>
  <si>
    <t>SMD,2x2.5mm</t>
  </si>
  <si>
    <t>FTC252012SR47MBCA</t>
  </si>
  <si>
    <t>cjiang (Changjiang Microelectronics Tech)</t>
  </si>
  <si>
    <t>13mΩ 470nH 6.5A 7.5A ±20% 1008 Power Inductors ROHS</t>
  </si>
  <si>
    <t>Power Inductors</t>
  </si>
  <si>
    <t>C5832368</t>
  </si>
  <si>
    <t>https://jlcpcb.com/partdetail/6763488-FTC252012SR47MBCA/C5832368</t>
  </si>
  <si>
    <t>Q1</t>
  </si>
  <si>
    <t>20V/4.2A/52mΩ/1.4W</t>
  </si>
  <si>
    <t>SOT23-3</t>
  </si>
  <si>
    <t>DMG2305UX-7</t>
  </si>
  <si>
    <t>Diodes Incorporated</t>
  </si>
  <si>
    <t>-55℃~+150℃ 1 P-Channel 1.4W 10.2nC@4.5V 20V 52mΩ@4.5V、100mΩ@2.5V 5A 77pF 808pF 85pF 900mV P-Channel SOT-23 MOSFETs ROHS</t>
  </si>
  <si>
    <t>C150470</t>
  </si>
  <si>
    <t>https://jlcpcb.com/partdetail/DiodesIncorporated-DMG2305UX7/C150470</t>
  </si>
  <si>
    <t>D3</t>
  </si>
  <si>
    <t>USBLC6-2SC6Y</t>
  </si>
  <si>
    <t>SOT23-6</t>
  </si>
  <si>
    <t>TECH PUBLIC</t>
  </si>
  <si>
    <t>-55℃~+125℃ 0.6pF、1pF 12V 150W@8/20us 5V 6.5V 80nA 9A@8/20us IEC 61000-4-2、IEC 61000-4-5、IEC 61000-4-4 SOT-23-6 ESD and Surge Protection (TVS/ESD) ROHS</t>
  </si>
  <si>
    <t>ESD and Surge Protection (TVS/ESD)</t>
  </si>
  <si>
    <t>C5310974</t>
  </si>
  <si>
    <t>https://jlcpcb.com/partdetail/TECHPUBLIC-USBLC62SC6Y/C5310974</t>
  </si>
  <si>
    <t>R1_EP_DR</t>
  </si>
  <si>
    <t>0.47Ω</t>
  </si>
  <si>
    <t>Select by Customer</t>
  </si>
  <si>
    <t>UCR006YVPFLR470</t>
  </si>
  <si>
    <t>ROHM Semicon</t>
  </si>
  <si>
    <t>0ppm/℃~+300ppm/℃ 100mW 470mΩ SMD Shunt ±1% 0201 Current Sense Resistors / Shunt Resistors ROHS</t>
  </si>
  <si>
    <t>Current Sense Resistors / Shunt Resistors</t>
  </si>
  <si>
    <t>1.The comment (UCR006YVPFLR470) of this part does not match the one (0.47Ω) provided in your BOM. Please confirm;</t>
  </si>
  <si>
    <t>C2089071</t>
  </si>
  <si>
    <t>https://jlcpcb.com/partdetail/ROHMSemicon-UCR006YVPFLR470/C2089071</t>
  </si>
  <si>
    <t>Pre-order</t>
  </si>
  <si>
    <t>R2_EP_DR,R5,R7,R8,R9,R_PWR_EPD</t>
  </si>
  <si>
    <t>10kΩ</t>
  </si>
  <si>
    <t>CPF0201D10KC1</t>
  </si>
  <si>
    <t>TE Connectivity</t>
  </si>
  <si>
    <t>-55℃~+155℃ 10kΩ 30mW Thin Film Resistor ±0.5% ±50ppm/℃ 0201 Chip Resistor - Surface Mount ROHS</t>
  </si>
  <si>
    <t>C4187156</t>
  </si>
  <si>
    <t>https://jlcpcb.com/partdetail/TEConnectivity-CPF0201D10KC1/C4187156</t>
  </si>
  <si>
    <t>L5</t>
  </si>
  <si>
    <t>744043680</t>
  </si>
  <si>
    <t>SMD,4.8x4.8mm</t>
  </si>
  <si>
    <t>Wurth Elektronik</t>
  </si>
  <si>
    <t>400mA 400mΩ 68uH ±30% SMD,4.8x4.8mm Power Inductors ROHS</t>
  </si>
  <si>
    <t>C2045671</t>
  </si>
  <si>
    <t>https://jlcpcb.com/partdetail/WurthElektronik-744043680/C2045671</t>
  </si>
  <si>
    <t>C11</t>
  </si>
  <si>
    <t>100pF</t>
  </si>
  <si>
    <t>GRM0335C1H101JA01D</t>
  </si>
  <si>
    <t>100pF 50V C0G ±5% 0201 Multilayer Ceramic Capacitors MLCC - SMD/SMT ROHS</t>
  </si>
  <si>
    <t>1.The comment (GRM0335C1H101JA01D) of this part does not match the one (100pF) provided in your BOM. Please confirm;</t>
  </si>
  <si>
    <t>C76922</t>
  </si>
  <si>
    <t>https://jlcpcb.com/partdetail/MurataElectronics-GRM0335C1H101JA01D/C76922</t>
  </si>
  <si>
    <t>U1</t>
  </si>
  <si>
    <t>NRF52840-QIAA-R7</t>
  </si>
  <si>
    <t>73-VFQFN</t>
  </si>
  <si>
    <t>Nordic Semicon</t>
  </si>
  <si>
    <t>-95dBm 1.7V~5.5V 2.4GHz 2.4GHz~2.4835GHz 2Mbps 4.82mA 6.26mA 8dBm SPI、USB、UART、I2S、PDM、PWM ZigBee、Bluetooth transceiver AQFN-73-EP(7x7) RF Transceiver ICs ROHS</t>
  </si>
  <si>
    <t>RF Transceiver ICs</t>
  </si>
  <si>
    <t>C1851953</t>
  </si>
  <si>
    <t>https://jlcpcb.com/partdetail/NordicSemicon-NRF52840_QIAAR7/C1851953</t>
  </si>
  <si>
    <t>Table 1</t>
  </si>
  <si>
    <t>Part Name</t>
  </si>
  <si>
    <t>Qty</t>
  </si>
  <si>
    <t>Slop</t>
  </si>
  <si>
    <t>Link (Order + Datasheet)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</si>
</sst>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8"/>
      <color indexed="8"/>
      <name val="Calibri"/>
    </font>
    <font>
      <sz val="10"/>
      <color indexed="8"/>
      <name val="Calibri"/>
    </font>
    <font>
      <sz val="12"/>
      <color indexed="8"/>
      <name val="Calibri"/>
    </font>
    <font>
      <b val="1"/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5" fillId="4" borderId="6" applyNumberFormat="1" applyFont="1" applyFill="1" applyBorder="1" applyAlignment="1" applyProtection="0">
      <alignment horizontal="center" vertical="center"/>
    </xf>
    <xf numFmtId="49" fontId="5" fillId="3" borderId="6" applyNumberFormat="1" applyFont="1" applyFill="1" applyBorder="1" applyAlignment="1" applyProtection="0">
      <alignment horizontal="center" vertical="center"/>
    </xf>
    <xf numFmtId="49" fontId="5" fillId="3" borderId="7" applyNumberFormat="1" applyFont="1" applyFill="1" applyBorder="1" applyAlignment="1" applyProtection="0">
      <alignment horizontal="center" vertical="center"/>
    </xf>
    <xf numFmtId="49" fontId="0" fillId="2" borderId="8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center"/>
    </xf>
    <xf numFmtId="49" fontId="0" fillId="2" borderId="10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5" borderId="6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bottom" wrapText="1"/>
    </xf>
    <xf numFmtId="49" fontId="0" fillId="6" borderId="6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6" fillId="7" borderId="13" applyNumberFormat="1" applyFont="1" applyFill="1" applyBorder="1" applyAlignment="1" applyProtection="0">
      <alignment vertical="bottom"/>
    </xf>
    <xf numFmtId="0" fontId="6" fillId="7" borderId="13" applyNumberFormat="0" applyFont="1" applyFill="1" applyBorder="1" applyAlignment="1" applyProtection="0">
      <alignment vertical="bottom"/>
    </xf>
    <xf numFmtId="49" fontId="0" fillId="2" borderId="14" applyNumberFormat="1" applyFont="1" applyFill="1" applyBorder="1" applyAlignment="1" applyProtection="0">
      <alignment vertical="bottom"/>
    </xf>
    <xf numFmtId="0" fontId="0" fillId="2" borderId="15" applyNumberFormat="1" applyFont="1" applyFill="1" applyBorder="1" applyAlignment="1" applyProtection="0">
      <alignment vertical="bottom"/>
    </xf>
    <xf numFmtId="49" fontId="0" fillId="2" borderId="16" applyNumberFormat="1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0" fontId="0" fillId="2" borderId="18" applyNumberFormat="1" applyFont="1" applyFill="1" applyBorder="1" applyAlignment="1" applyProtection="0">
      <alignment vertical="bottom"/>
    </xf>
    <xf numFmtId="49" fontId="0" fillId="2" borderId="19" applyNumberFormat="1" applyFont="1" applyFill="1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ccff"/>
      <rgbColor rgb="fffccc04"/>
      <rgbColor rgb="ff99cc00"/>
      <rgbColor rgb="ffd9d9d9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5"/>
  <sheetViews>
    <sheetView workbookViewId="0" showGridLines="0" defaultGridColor="1"/>
  </sheetViews>
  <sheetFormatPr defaultColWidth="8.83333" defaultRowHeight="15" customHeight="1" outlineLevelRow="0" outlineLevelCol="0"/>
  <cols>
    <col min="1" max="1" width="72.5" style="1" customWidth="1"/>
    <col min="2" max="2" width="21" style="1" customWidth="1"/>
    <col min="3" max="3" width="26" style="1" customWidth="1"/>
    <col min="4" max="4" width="17" style="1" customWidth="1"/>
    <col min="5" max="5" width="17.3516" style="1" customWidth="1"/>
    <col min="6" max="6" width="38.6719" style="1" customWidth="1"/>
    <col min="7" max="7" width="47.5" style="1" customWidth="1"/>
    <col min="8" max="8" width="26" style="1" customWidth="1"/>
    <col min="9" max="9" width="237.852" style="1" customWidth="1"/>
    <col min="10" max="10" width="44.8516" style="1" customWidth="1"/>
    <col min="11" max="11" width="8.98438" style="1" customWidth="1"/>
    <col min="12" max="12" width="17" style="1" customWidth="1"/>
    <col min="13" max="13" width="75.1719" style="1" customWidth="1"/>
    <col min="14" max="14" width="9.67188" style="1" customWidth="1"/>
    <col min="15" max="15" width="10.8516" style="1" customWidth="1"/>
    <col min="16" max="16" width="6.67188" style="1" customWidth="1"/>
    <col min="17" max="17" width="14" style="1" customWidth="1"/>
    <col min="18" max="18" width="27.6719" style="1" customWidth="1"/>
    <col min="19" max="19" width="51.8516" style="1" customWidth="1"/>
    <col min="20" max="20" width="18" style="1" customWidth="1"/>
    <col min="21" max="21" width="16.3516" style="1" customWidth="1"/>
    <col min="22" max="22" width="17.3516" style="1" customWidth="1"/>
    <col min="23" max="16384" width="8.85156" style="1" customWidth="1"/>
  </cols>
  <sheetData>
    <row r="1" ht="22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75" customHeight="1">
      <c r="A2" t="s" s="4">
        <v>1</v>
      </c>
      <c r="B2" s="3"/>
      <c r="C2" s="3"/>
      <c r="D2" s="3"/>
      <c r="E2" t="s" s="4">
        <v>2</v>
      </c>
      <c r="F2" s="3"/>
      <c r="G2" s="3"/>
      <c r="H2" s="3"/>
      <c r="I2" t="s" s="5">
        <v>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30" customHeight="1">
      <c r="A3" t="s" s="6">
        <v>4</v>
      </c>
      <c r="B3" s="3"/>
      <c r="C3" s="3"/>
      <c r="D3" s="3"/>
      <c r="E3" t="s" s="7">
        <v>5</v>
      </c>
      <c r="F3" s="3"/>
      <c r="G3" s="3"/>
      <c r="H3" s="3"/>
      <c r="I3" s="3"/>
      <c r="J3" s="3"/>
      <c r="K3" s="3"/>
      <c r="L3" s="8"/>
      <c r="M3" s="3"/>
      <c r="N3" s="3"/>
      <c r="O3" s="3"/>
      <c r="P3" s="3"/>
      <c r="Q3" s="3"/>
      <c r="R3" s="3"/>
      <c r="S3" s="3"/>
      <c r="T3" s="3"/>
      <c r="U3" s="3"/>
      <c r="V3" s="3"/>
    </row>
    <row r="4" ht="15.35" customHeight="1">
      <c r="A4" t="s" s="9">
        <v>6</v>
      </c>
      <c r="B4" s="10"/>
      <c r="C4" s="8"/>
      <c r="D4" s="11"/>
      <c r="E4" t="s" s="12">
        <v>7</v>
      </c>
      <c r="F4" s="10"/>
      <c r="G4" s="8"/>
      <c r="H4" s="8"/>
      <c r="I4" s="8"/>
      <c r="J4" s="8"/>
      <c r="K4" s="11"/>
      <c r="L4" t="s" s="13">
        <v>8</v>
      </c>
      <c r="M4" s="10"/>
      <c r="N4" s="8"/>
      <c r="O4" s="8"/>
      <c r="P4" s="8"/>
      <c r="Q4" s="8"/>
      <c r="R4" s="8"/>
      <c r="S4" s="8"/>
      <c r="T4" s="8"/>
      <c r="U4" s="8"/>
      <c r="V4" s="8"/>
    </row>
    <row r="5" ht="15.35" customHeight="1">
      <c r="A5" t="s" s="9">
        <v>9</v>
      </c>
      <c r="B5" t="s" s="13">
        <v>10</v>
      </c>
      <c r="C5" t="s" s="13">
        <v>11</v>
      </c>
      <c r="D5" t="s" s="13">
        <v>12</v>
      </c>
      <c r="E5" t="s" s="12">
        <v>13</v>
      </c>
      <c r="F5" t="s" s="12">
        <v>14</v>
      </c>
      <c r="G5" t="s" s="12">
        <v>15</v>
      </c>
      <c r="H5" t="s" s="12">
        <v>11</v>
      </c>
      <c r="I5" t="s" s="12">
        <v>16</v>
      </c>
      <c r="J5" t="s" s="12">
        <v>17</v>
      </c>
      <c r="K5" t="s" s="12">
        <v>18</v>
      </c>
      <c r="L5" t="s" s="13">
        <v>12</v>
      </c>
      <c r="M5" t="s" s="13">
        <v>19</v>
      </c>
      <c r="N5" t="s" s="13">
        <v>20</v>
      </c>
      <c r="O5" t="s" s="13">
        <v>21</v>
      </c>
      <c r="P5" t="s" s="13">
        <v>22</v>
      </c>
      <c r="Q5" t="s" s="13">
        <v>23</v>
      </c>
      <c r="R5" t="s" s="13">
        <v>24</v>
      </c>
      <c r="S5" t="s" s="13">
        <v>25</v>
      </c>
      <c r="T5" t="s" s="13">
        <v>26</v>
      </c>
      <c r="U5" t="s" s="13">
        <v>27</v>
      </c>
      <c r="V5" t="s" s="14">
        <v>28</v>
      </c>
    </row>
    <row r="6" ht="13.75" customHeight="1">
      <c r="A6" t="s" s="15">
        <v>29</v>
      </c>
      <c r="B6" t="s" s="15">
        <v>30</v>
      </c>
      <c r="C6" t="s" s="15">
        <v>31</v>
      </c>
      <c r="D6" s="16"/>
      <c r="E6" t="s" s="17">
        <v>32</v>
      </c>
      <c r="F6" t="s" s="18">
        <v>33</v>
      </c>
      <c r="G6" t="s" s="15">
        <v>34</v>
      </c>
      <c r="H6" t="s" s="15">
        <v>31</v>
      </c>
      <c r="I6" t="s" s="15">
        <v>35</v>
      </c>
      <c r="J6" t="s" s="15">
        <v>36</v>
      </c>
      <c r="K6" s="19"/>
      <c r="L6" t="s" s="15">
        <v>37</v>
      </c>
      <c r="M6" t="s" s="15">
        <v>38</v>
      </c>
      <c r="N6" t="s" s="15">
        <v>39</v>
      </c>
      <c r="O6" t="s" s="15">
        <v>40</v>
      </c>
      <c r="P6" s="20">
        <v>1</v>
      </c>
      <c r="Q6" s="20">
        <v>2037</v>
      </c>
      <c r="R6" s="20">
        <v>0</v>
      </c>
      <c r="S6" s="20">
        <v>0</v>
      </c>
      <c r="T6" s="20">
        <v>5</v>
      </c>
      <c r="U6" s="20">
        <v>0.841</v>
      </c>
      <c r="V6" s="20">
        <v>4.205</v>
      </c>
    </row>
    <row r="7" ht="13.75" customHeight="1">
      <c r="A7" t="s" s="21">
        <v>41</v>
      </c>
      <c r="B7" t="s" s="21">
        <v>42</v>
      </c>
      <c r="C7" t="s" s="21">
        <v>43</v>
      </c>
      <c r="D7" s="22"/>
      <c r="E7" t="s" s="17">
        <v>32</v>
      </c>
      <c r="F7" t="s" s="23">
        <v>44</v>
      </c>
      <c r="G7" t="s" s="21">
        <v>45</v>
      </c>
      <c r="H7" t="s" s="21">
        <v>43</v>
      </c>
      <c r="I7" t="s" s="21">
        <v>46</v>
      </c>
      <c r="J7" t="s" s="21">
        <v>47</v>
      </c>
      <c r="K7" t="s" s="21">
        <v>48</v>
      </c>
      <c r="L7" t="s" s="21">
        <v>49</v>
      </c>
      <c r="M7" t="s" s="21">
        <v>50</v>
      </c>
      <c r="N7" t="s" s="21">
        <v>39</v>
      </c>
      <c r="O7" t="s" s="21">
        <v>40</v>
      </c>
      <c r="P7" s="24">
        <v>1</v>
      </c>
      <c r="Q7" s="24">
        <v>1767408</v>
      </c>
      <c r="R7" s="24">
        <v>0</v>
      </c>
      <c r="S7" s="24">
        <v>0</v>
      </c>
      <c r="T7" s="24">
        <v>37</v>
      </c>
      <c r="U7" s="24">
        <v>0.0008</v>
      </c>
      <c r="V7" s="24">
        <v>0.0296</v>
      </c>
    </row>
    <row r="8" ht="13.75" customHeight="1">
      <c r="A8" t="s" s="21">
        <v>51</v>
      </c>
      <c r="B8" t="s" s="21">
        <v>52</v>
      </c>
      <c r="C8" t="s" s="21">
        <v>53</v>
      </c>
      <c r="D8" s="22"/>
      <c r="E8" t="s" s="17">
        <v>32</v>
      </c>
      <c r="F8" t="s" s="23">
        <v>54</v>
      </c>
      <c r="G8" t="s" s="21">
        <v>55</v>
      </c>
      <c r="H8" t="s" s="21">
        <v>53</v>
      </c>
      <c r="I8" t="s" s="21">
        <v>56</v>
      </c>
      <c r="J8" t="s" s="21">
        <v>47</v>
      </c>
      <c r="K8" t="s" s="21">
        <v>57</v>
      </c>
      <c r="L8" t="s" s="21">
        <v>58</v>
      </c>
      <c r="M8" t="s" s="21">
        <v>59</v>
      </c>
      <c r="N8" t="s" s="21">
        <v>39</v>
      </c>
      <c r="O8" t="s" s="21">
        <v>40</v>
      </c>
      <c r="P8" s="24">
        <v>1</v>
      </c>
      <c r="Q8" s="24">
        <v>515427</v>
      </c>
      <c r="R8" s="24">
        <v>0</v>
      </c>
      <c r="S8" s="24">
        <v>0</v>
      </c>
      <c r="T8" s="24">
        <v>15</v>
      </c>
      <c r="U8" s="24">
        <v>0.0132</v>
      </c>
      <c r="V8" s="24">
        <v>0.198</v>
      </c>
    </row>
    <row r="9" ht="13.75" customHeight="1">
      <c r="A9" t="s" s="21">
        <v>60</v>
      </c>
      <c r="B9" t="s" s="21">
        <v>61</v>
      </c>
      <c r="C9" t="s" s="21">
        <v>62</v>
      </c>
      <c r="D9" s="22"/>
      <c r="E9" t="s" s="25">
        <v>63</v>
      </c>
      <c r="F9" t="s" s="23">
        <v>61</v>
      </c>
      <c r="G9" t="s" s="21">
        <v>64</v>
      </c>
      <c r="H9" t="s" s="21">
        <v>62</v>
      </c>
      <c r="I9" t="s" s="21">
        <v>65</v>
      </c>
      <c r="J9" t="s" s="21">
        <v>66</v>
      </c>
      <c r="K9" s="3"/>
      <c r="L9" t="s" s="21">
        <v>67</v>
      </c>
      <c r="M9" t="s" s="21">
        <v>68</v>
      </c>
      <c r="N9" t="s" s="21">
        <v>39</v>
      </c>
      <c r="O9" t="s" s="21">
        <v>40</v>
      </c>
      <c r="P9" s="24">
        <v>1</v>
      </c>
      <c r="Q9" s="24">
        <v>250180</v>
      </c>
      <c r="R9" s="24">
        <v>0</v>
      </c>
      <c r="S9" s="24">
        <v>0</v>
      </c>
      <c r="T9" s="24">
        <v>5</v>
      </c>
      <c r="U9" s="24">
        <v>0.076</v>
      </c>
      <c r="V9" s="24">
        <v>0.38</v>
      </c>
    </row>
    <row r="10" ht="13.75" customHeight="1">
      <c r="A10" t="s" s="21">
        <v>69</v>
      </c>
      <c r="B10" t="s" s="21">
        <v>70</v>
      </c>
      <c r="C10" t="s" s="21">
        <v>71</v>
      </c>
      <c r="D10" s="22"/>
      <c r="E10" t="s" s="25">
        <v>63</v>
      </c>
      <c r="F10" t="s" s="23">
        <v>70</v>
      </c>
      <c r="G10" t="s" s="21">
        <v>72</v>
      </c>
      <c r="H10" t="s" s="21">
        <v>71</v>
      </c>
      <c r="I10" t="s" s="21">
        <v>73</v>
      </c>
      <c r="J10" t="s" s="21">
        <v>74</v>
      </c>
      <c r="K10" s="3"/>
      <c r="L10" t="s" s="21">
        <v>75</v>
      </c>
      <c r="M10" t="s" s="21">
        <v>76</v>
      </c>
      <c r="N10" t="s" s="21">
        <v>39</v>
      </c>
      <c r="O10" t="s" s="21">
        <v>40</v>
      </c>
      <c r="P10" s="24">
        <v>1</v>
      </c>
      <c r="Q10" s="24">
        <v>5993</v>
      </c>
      <c r="R10" s="24">
        <v>0</v>
      </c>
      <c r="S10" s="24">
        <v>0</v>
      </c>
      <c r="T10" s="24">
        <v>5</v>
      </c>
      <c r="U10" s="24">
        <v>0.5868</v>
      </c>
      <c r="V10" s="24">
        <v>2.934</v>
      </c>
    </row>
    <row r="11" ht="13.75" customHeight="1">
      <c r="A11" t="s" s="21">
        <v>77</v>
      </c>
      <c r="B11" t="s" s="21">
        <v>78</v>
      </c>
      <c r="C11" t="s" s="21">
        <v>79</v>
      </c>
      <c r="D11" s="22"/>
      <c r="E11" t="s" s="17">
        <v>32</v>
      </c>
      <c r="F11" t="s" s="23">
        <v>80</v>
      </c>
      <c r="G11" t="s" s="21">
        <v>81</v>
      </c>
      <c r="H11" t="s" s="21">
        <v>79</v>
      </c>
      <c r="I11" t="s" s="21">
        <v>82</v>
      </c>
      <c r="J11" t="s" s="21">
        <v>83</v>
      </c>
      <c r="K11" t="s" s="21">
        <v>84</v>
      </c>
      <c r="L11" t="s" s="21">
        <v>85</v>
      </c>
      <c r="M11" t="s" s="21">
        <v>86</v>
      </c>
      <c r="N11" t="s" s="21">
        <v>39</v>
      </c>
      <c r="O11" t="s" s="21">
        <v>87</v>
      </c>
      <c r="P11" s="24">
        <v>1</v>
      </c>
      <c r="Q11" s="24">
        <v>314612</v>
      </c>
      <c r="R11" s="24">
        <v>0</v>
      </c>
      <c r="S11" s="24">
        <v>0</v>
      </c>
      <c r="T11" s="24">
        <v>20</v>
      </c>
      <c r="U11" s="24">
        <v>0.0175</v>
      </c>
      <c r="V11" s="24">
        <v>0.35</v>
      </c>
    </row>
    <row r="12" ht="13.75" customHeight="1">
      <c r="A12" t="s" s="21">
        <v>88</v>
      </c>
      <c r="B12" t="s" s="21">
        <v>89</v>
      </c>
      <c r="C12" t="s" s="21">
        <v>43</v>
      </c>
      <c r="D12" s="22"/>
      <c r="E12" t="s" s="25">
        <v>63</v>
      </c>
      <c r="F12" t="s" s="23">
        <v>90</v>
      </c>
      <c r="G12" t="s" s="21">
        <v>91</v>
      </c>
      <c r="H12" t="s" s="21">
        <v>43</v>
      </c>
      <c r="I12" t="s" s="21">
        <v>92</v>
      </c>
      <c r="J12" t="s" s="21">
        <v>93</v>
      </c>
      <c r="K12" s="3"/>
      <c r="L12" t="s" s="21">
        <v>94</v>
      </c>
      <c r="M12" t="s" s="21">
        <v>95</v>
      </c>
      <c r="N12" t="s" s="21">
        <v>39</v>
      </c>
      <c r="O12" t="s" s="21">
        <v>40</v>
      </c>
      <c r="P12" s="24">
        <v>1</v>
      </c>
      <c r="Q12" s="24">
        <v>489132</v>
      </c>
      <c r="R12" s="24">
        <v>0</v>
      </c>
      <c r="S12" s="24">
        <v>0</v>
      </c>
      <c r="T12" s="24">
        <v>20</v>
      </c>
      <c r="U12" s="24">
        <v>0.0012</v>
      </c>
      <c r="V12" s="24">
        <v>0.024</v>
      </c>
    </row>
    <row r="13" ht="13.75" customHeight="1">
      <c r="A13" t="s" s="21">
        <v>96</v>
      </c>
      <c r="B13" t="s" s="21">
        <v>97</v>
      </c>
      <c r="C13" t="s" s="21">
        <v>98</v>
      </c>
      <c r="D13" s="22"/>
      <c r="E13" t="s" s="17">
        <v>32</v>
      </c>
      <c r="F13" t="s" s="23">
        <v>97</v>
      </c>
      <c r="G13" t="s" s="21">
        <v>99</v>
      </c>
      <c r="H13" t="s" s="21">
        <v>98</v>
      </c>
      <c r="I13" t="s" s="21">
        <v>100</v>
      </c>
      <c r="J13" t="s" s="21">
        <v>101</v>
      </c>
      <c r="K13" t="s" s="21">
        <v>102</v>
      </c>
      <c r="L13" t="s" s="21">
        <v>103</v>
      </c>
      <c r="M13" t="s" s="21">
        <v>104</v>
      </c>
      <c r="N13" t="s" s="21">
        <v>39</v>
      </c>
      <c r="O13" t="s" s="21">
        <v>40</v>
      </c>
      <c r="P13" s="24">
        <v>1</v>
      </c>
      <c r="Q13" s="24">
        <v>26113</v>
      </c>
      <c r="R13" s="24">
        <v>0</v>
      </c>
      <c r="S13" s="24">
        <v>0</v>
      </c>
      <c r="T13" s="24">
        <v>17</v>
      </c>
      <c r="U13" s="24">
        <v>0.1596</v>
      </c>
      <c r="V13" s="24">
        <v>2.7132</v>
      </c>
    </row>
    <row r="14" ht="13.75" customHeight="1">
      <c r="A14" t="s" s="21">
        <v>105</v>
      </c>
      <c r="B14" t="s" s="21">
        <v>106</v>
      </c>
      <c r="C14" t="s" s="21">
        <v>43</v>
      </c>
      <c r="D14" s="22"/>
      <c r="E14" t="s" s="17">
        <v>32</v>
      </c>
      <c r="F14" t="s" s="23">
        <v>107</v>
      </c>
      <c r="G14" t="s" s="21">
        <v>108</v>
      </c>
      <c r="H14" t="s" s="21">
        <v>43</v>
      </c>
      <c r="I14" t="s" s="21">
        <v>46</v>
      </c>
      <c r="J14" t="s" s="21">
        <v>47</v>
      </c>
      <c r="K14" t="s" s="21">
        <v>109</v>
      </c>
      <c r="L14" t="s" s="21">
        <v>110</v>
      </c>
      <c r="M14" t="s" s="21">
        <v>111</v>
      </c>
      <c r="N14" t="s" s="21">
        <v>39</v>
      </c>
      <c r="O14" t="s" s="21">
        <v>40</v>
      </c>
      <c r="P14" s="24">
        <v>1</v>
      </c>
      <c r="Q14" s="24">
        <v>1241377</v>
      </c>
      <c r="R14" s="24">
        <v>0</v>
      </c>
      <c r="S14" s="24">
        <v>0</v>
      </c>
      <c r="T14" s="24">
        <v>37</v>
      </c>
      <c r="U14" s="24">
        <v>0.002</v>
      </c>
      <c r="V14" s="24">
        <v>0.074</v>
      </c>
    </row>
    <row r="15" ht="13.75" customHeight="1">
      <c r="A15" t="s" s="21">
        <v>112</v>
      </c>
      <c r="B15" t="s" s="21">
        <v>113</v>
      </c>
      <c r="C15" t="s" s="21">
        <v>114</v>
      </c>
      <c r="D15" s="22"/>
      <c r="E15" t="s" s="25">
        <v>63</v>
      </c>
      <c r="F15" t="s" s="23">
        <v>113</v>
      </c>
      <c r="G15" t="s" s="21">
        <v>115</v>
      </c>
      <c r="H15" t="s" s="21">
        <v>114</v>
      </c>
      <c r="I15" t="s" s="21">
        <v>116</v>
      </c>
      <c r="J15" t="s" s="21">
        <v>117</v>
      </c>
      <c r="K15" s="3"/>
      <c r="L15" t="s" s="21">
        <v>118</v>
      </c>
      <c r="M15" t="s" s="21">
        <v>119</v>
      </c>
      <c r="N15" t="s" s="21">
        <v>39</v>
      </c>
      <c r="O15" t="s" s="21">
        <v>40</v>
      </c>
      <c r="P15" s="24">
        <v>1</v>
      </c>
      <c r="Q15" s="24">
        <v>21</v>
      </c>
      <c r="R15" s="24">
        <v>0</v>
      </c>
      <c r="S15" s="24">
        <v>0</v>
      </c>
      <c r="T15" s="24">
        <v>5</v>
      </c>
      <c r="U15" s="24">
        <v>0.849</v>
      </c>
      <c r="V15" s="24">
        <v>4.245</v>
      </c>
    </row>
    <row r="16" ht="13.75" customHeight="1">
      <c r="A16" t="s" s="21">
        <v>120</v>
      </c>
      <c r="B16" t="s" s="21">
        <v>121</v>
      </c>
      <c r="C16" t="s" s="21">
        <v>122</v>
      </c>
      <c r="D16" s="22"/>
      <c r="E16" t="s" s="25">
        <v>63</v>
      </c>
      <c r="F16" t="s" s="23">
        <v>123</v>
      </c>
      <c r="G16" t="s" s="21">
        <v>124</v>
      </c>
      <c r="H16" t="s" s="21">
        <v>122</v>
      </c>
      <c r="I16" t="s" s="21">
        <v>125</v>
      </c>
      <c r="J16" t="s" s="21">
        <v>126</v>
      </c>
      <c r="K16" s="3"/>
      <c r="L16" t="s" s="21">
        <v>127</v>
      </c>
      <c r="M16" t="s" s="21">
        <v>128</v>
      </c>
      <c r="N16" t="s" s="21">
        <v>39</v>
      </c>
      <c r="O16" t="s" s="21">
        <v>40</v>
      </c>
      <c r="P16" s="24">
        <v>1</v>
      </c>
      <c r="Q16" s="24">
        <v>2791</v>
      </c>
      <c r="R16" s="24">
        <v>0</v>
      </c>
      <c r="S16" s="24">
        <v>0</v>
      </c>
      <c r="T16" s="24">
        <v>5</v>
      </c>
      <c r="U16" s="24">
        <v>0.6203</v>
      </c>
      <c r="V16" s="24">
        <v>3.1015</v>
      </c>
    </row>
    <row r="17" ht="26.55" customHeight="1">
      <c r="A17" t="s" s="21">
        <v>129</v>
      </c>
      <c r="B17" t="s" s="21">
        <v>130</v>
      </c>
      <c r="C17" t="s" s="21">
        <v>53</v>
      </c>
      <c r="D17" s="22"/>
      <c r="E17" t="s" s="17">
        <v>32</v>
      </c>
      <c r="F17" t="s" s="23">
        <v>131</v>
      </c>
      <c r="G17" t="s" s="21">
        <v>132</v>
      </c>
      <c r="H17" t="s" s="21">
        <v>53</v>
      </c>
      <c r="I17" t="s" s="21">
        <v>133</v>
      </c>
      <c r="J17" t="s" s="21">
        <v>134</v>
      </c>
      <c r="K17" t="s" s="26">
        <v>135</v>
      </c>
      <c r="L17" t="s" s="21">
        <v>136</v>
      </c>
      <c r="M17" t="s" s="21">
        <v>137</v>
      </c>
      <c r="N17" t="s" s="21">
        <v>39</v>
      </c>
      <c r="O17" t="s" s="21">
        <v>40</v>
      </c>
      <c r="P17" s="24">
        <v>1</v>
      </c>
      <c r="Q17" s="24">
        <v>969</v>
      </c>
      <c r="R17" s="24">
        <v>0</v>
      </c>
      <c r="S17" s="24">
        <v>0</v>
      </c>
      <c r="T17" s="24">
        <v>10</v>
      </c>
      <c r="U17" s="24">
        <v>1.7954</v>
      </c>
      <c r="V17" s="24">
        <v>17.954</v>
      </c>
    </row>
    <row r="18" ht="13.75" customHeight="1">
      <c r="A18" t="s" s="21">
        <v>138</v>
      </c>
      <c r="B18" t="s" s="21">
        <v>139</v>
      </c>
      <c r="C18" t="s" s="21">
        <v>140</v>
      </c>
      <c r="D18" s="22"/>
      <c r="E18" t="s" s="25">
        <v>63</v>
      </c>
      <c r="F18" t="s" s="23">
        <v>139</v>
      </c>
      <c r="G18" t="s" s="21">
        <v>132</v>
      </c>
      <c r="H18" t="s" s="21">
        <v>140</v>
      </c>
      <c r="I18" t="s" s="21">
        <v>141</v>
      </c>
      <c r="J18" t="s" s="21">
        <v>142</v>
      </c>
      <c r="K18" s="3"/>
      <c r="L18" t="s" s="21">
        <v>143</v>
      </c>
      <c r="M18" t="s" s="21">
        <v>144</v>
      </c>
      <c r="N18" t="s" s="21">
        <v>39</v>
      </c>
      <c r="O18" t="s" s="21">
        <v>40</v>
      </c>
      <c r="P18" s="24">
        <v>1</v>
      </c>
      <c r="Q18" s="24">
        <v>334</v>
      </c>
      <c r="R18" s="24">
        <v>0</v>
      </c>
      <c r="S18" s="24">
        <v>0</v>
      </c>
      <c r="T18" s="24">
        <v>5</v>
      </c>
      <c r="U18" s="24">
        <v>1.3286</v>
      </c>
      <c r="V18" s="24">
        <v>6.643</v>
      </c>
    </row>
    <row r="19" ht="13.75" customHeight="1">
      <c r="A19" t="s" s="21">
        <v>145</v>
      </c>
      <c r="B19" t="s" s="21">
        <v>146</v>
      </c>
      <c r="C19" t="s" s="21">
        <v>147</v>
      </c>
      <c r="D19" s="22"/>
      <c r="E19" t="s" s="25">
        <v>63</v>
      </c>
      <c r="F19" t="s" s="23">
        <v>146</v>
      </c>
      <c r="G19" t="s" s="21">
        <v>148</v>
      </c>
      <c r="H19" t="s" s="21">
        <v>147</v>
      </c>
      <c r="I19" t="s" s="21">
        <v>149</v>
      </c>
      <c r="J19" t="s" s="21">
        <v>150</v>
      </c>
      <c r="K19" s="3"/>
      <c r="L19" t="s" s="21">
        <v>151</v>
      </c>
      <c r="M19" t="s" s="21">
        <v>152</v>
      </c>
      <c r="N19" t="s" s="21">
        <v>39</v>
      </c>
      <c r="O19" t="s" s="21">
        <v>40</v>
      </c>
      <c r="P19" s="24">
        <v>1</v>
      </c>
      <c r="Q19" s="24">
        <v>317</v>
      </c>
      <c r="R19" s="24">
        <v>0</v>
      </c>
      <c r="S19" s="24">
        <v>0</v>
      </c>
      <c r="T19" s="24">
        <v>5</v>
      </c>
      <c r="U19" s="24">
        <v>1.0408</v>
      </c>
      <c r="V19" s="24">
        <v>5.204</v>
      </c>
    </row>
    <row r="20" ht="13.75" customHeight="1">
      <c r="A20" t="s" s="21">
        <v>153</v>
      </c>
      <c r="B20" t="s" s="21">
        <v>154</v>
      </c>
      <c r="C20" t="s" s="21">
        <v>155</v>
      </c>
      <c r="D20" s="22"/>
      <c r="E20" t="s" s="25">
        <v>63</v>
      </c>
      <c r="F20" t="s" s="23">
        <v>154</v>
      </c>
      <c r="G20" t="s" s="21">
        <v>156</v>
      </c>
      <c r="H20" t="s" s="21">
        <v>155</v>
      </c>
      <c r="I20" t="s" s="21">
        <v>157</v>
      </c>
      <c r="J20" t="s" s="21">
        <v>158</v>
      </c>
      <c r="K20" s="3"/>
      <c r="L20" t="s" s="21">
        <v>159</v>
      </c>
      <c r="M20" t="s" s="21">
        <v>160</v>
      </c>
      <c r="N20" t="s" s="21">
        <v>39</v>
      </c>
      <c r="O20" t="s" s="21">
        <v>40</v>
      </c>
      <c r="P20" s="24">
        <v>1</v>
      </c>
      <c r="Q20" s="24">
        <v>16217</v>
      </c>
      <c r="R20" s="24">
        <v>0</v>
      </c>
      <c r="S20" s="24">
        <v>0</v>
      </c>
      <c r="T20" s="24">
        <v>7</v>
      </c>
      <c r="U20" s="24">
        <v>0.1853</v>
      </c>
      <c r="V20" s="24">
        <v>1.2971</v>
      </c>
    </row>
    <row r="21" ht="13.75" customHeight="1">
      <c r="A21" t="s" s="21">
        <v>161</v>
      </c>
      <c r="B21" t="s" s="21">
        <v>162</v>
      </c>
      <c r="C21" t="s" s="21">
        <v>53</v>
      </c>
      <c r="D21" s="22"/>
      <c r="E21" t="s" s="17">
        <v>32</v>
      </c>
      <c r="F21" t="s" s="23">
        <v>163</v>
      </c>
      <c r="G21" t="s" s="21">
        <v>108</v>
      </c>
      <c r="H21" t="s" s="21">
        <v>53</v>
      </c>
      <c r="I21" t="s" s="21">
        <v>164</v>
      </c>
      <c r="J21" t="s" s="21">
        <v>47</v>
      </c>
      <c r="K21" t="s" s="21">
        <v>165</v>
      </c>
      <c r="L21" t="s" s="21">
        <v>166</v>
      </c>
      <c r="M21" t="s" s="21">
        <v>167</v>
      </c>
      <c r="N21" t="s" s="21">
        <v>39</v>
      </c>
      <c r="O21" t="s" s="21">
        <v>40</v>
      </c>
      <c r="P21" s="24">
        <v>1</v>
      </c>
      <c r="Q21" s="24">
        <v>282949</v>
      </c>
      <c r="R21" s="24">
        <v>0</v>
      </c>
      <c r="S21" s="24">
        <v>0</v>
      </c>
      <c r="T21" s="24">
        <v>14</v>
      </c>
      <c r="U21" s="24">
        <v>0.0435</v>
      </c>
      <c r="V21" s="24">
        <v>0.609</v>
      </c>
    </row>
    <row r="22" ht="13.75" customHeight="1">
      <c r="A22" t="s" s="21">
        <v>168</v>
      </c>
      <c r="B22" t="s" s="21">
        <v>169</v>
      </c>
      <c r="C22" t="s" s="21">
        <v>53</v>
      </c>
      <c r="D22" s="22"/>
      <c r="E22" t="s" s="25">
        <v>63</v>
      </c>
      <c r="F22" t="s" s="23">
        <v>170</v>
      </c>
      <c r="G22" t="s" s="21">
        <v>108</v>
      </c>
      <c r="H22" t="s" s="21">
        <v>53</v>
      </c>
      <c r="I22" t="s" s="21">
        <v>171</v>
      </c>
      <c r="J22" t="s" s="21">
        <v>47</v>
      </c>
      <c r="K22" s="3"/>
      <c r="L22" t="s" s="21">
        <v>172</v>
      </c>
      <c r="M22" t="s" s="21">
        <v>173</v>
      </c>
      <c r="N22" t="s" s="21">
        <v>39</v>
      </c>
      <c r="O22" t="s" s="21">
        <v>40</v>
      </c>
      <c r="P22" s="24">
        <v>1</v>
      </c>
      <c r="Q22" s="24">
        <v>264318</v>
      </c>
      <c r="R22" s="24">
        <v>0</v>
      </c>
      <c r="S22" s="24">
        <v>0</v>
      </c>
      <c r="T22" s="24">
        <v>49</v>
      </c>
      <c r="U22" s="24">
        <v>0.0304</v>
      </c>
      <c r="V22" s="24">
        <v>1.4896</v>
      </c>
    </row>
    <row r="23" ht="13.75" customHeight="1">
      <c r="A23" t="s" s="21">
        <v>174</v>
      </c>
      <c r="B23" t="s" s="21">
        <v>175</v>
      </c>
      <c r="C23" t="s" s="21">
        <v>53</v>
      </c>
      <c r="D23" s="22"/>
      <c r="E23" t="s" s="17">
        <v>32</v>
      </c>
      <c r="F23" t="s" s="23">
        <v>176</v>
      </c>
      <c r="G23" t="s" s="21">
        <v>81</v>
      </c>
      <c r="H23" t="s" s="21">
        <v>53</v>
      </c>
      <c r="I23" t="s" s="21">
        <v>177</v>
      </c>
      <c r="J23" t="s" s="21">
        <v>83</v>
      </c>
      <c r="K23" t="s" s="21">
        <v>178</v>
      </c>
      <c r="L23" t="s" s="21">
        <v>179</v>
      </c>
      <c r="M23" t="s" s="21">
        <v>180</v>
      </c>
      <c r="N23" t="s" s="21">
        <v>39</v>
      </c>
      <c r="O23" t="s" s="21">
        <v>40</v>
      </c>
      <c r="P23" s="24">
        <v>1</v>
      </c>
      <c r="Q23" s="24">
        <v>481616</v>
      </c>
      <c r="R23" s="24">
        <v>0</v>
      </c>
      <c r="S23" s="24">
        <v>0</v>
      </c>
      <c r="T23" s="24">
        <v>20</v>
      </c>
      <c r="U23" s="24">
        <v>0.0053</v>
      </c>
      <c r="V23" s="24">
        <v>0.106</v>
      </c>
    </row>
    <row r="24" ht="13.75" customHeight="1">
      <c r="A24" t="s" s="21">
        <v>181</v>
      </c>
      <c r="B24" t="s" s="21">
        <v>182</v>
      </c>
      <c r="C24" t="s" s="21">
        <v>43</v>
      </c>
      <c r="D24" s="22"/>
      <c r="E24" t="s" s="25">
        <v>63</v>
      </c>
      <c r="F24" t="s" s="23">
        <v>183</v>
      </c>
      <c r="G24" t="s" s="21">
        <v>91</v>
      </c>
      <c r="H24" t="s" s="21">
        <v>43</v>
      </c>
      <c r="I24" t="s" s="21">
        <v>184</v>
      </c>
      <c r="J24" t="s" s="21">
        <v>93</v>
      </c>
      <c r="K24" s="3"/>
      <c r="L24" t="s" s="21">
        <v>185</v>
      </c>
      <c r="M24" t="s" s="21">
        <v>186</v>
      </c>
      <c r="N24" t="s" s="21">
        <v>39</v>
      </c>
      <c r="O24" t="s" s="21">
        <v>40</v>
      </c>
      <c r="P24" s="24">
        <v>1</v>
      </c>
      <c r="Q24" s="24">
        <v>908769</v>
      </c>
      <c r="R24" s="24">
        <v>0</v>
      </c>
      <c r="S24" s="24">
        <v>0</v>
      </c>
      <c r="T24" s="24">
        <v>25</v>
      </c>
      <c r="U24" s="24">
        <v>0.0008</v>
      </c>
      <c r="V24" s="24">
        <v>0.02</v>
      </c>
    </row>
    <row r="25" ht="13.75" customHeight="1">
      <c r="A25" t="s" s="21">
        <v>187</v>
      </c>
      <c r="B25" t="s" s="21">
        <v>188</v>
      </c>
      <c r="C25" t="s" s="21">
        <v>43</v>
      </c>
      <c r="D25" s="22"/>
      <c r="E25" t="s" s="17">
        <v>32</v>
      </c>
      <c r="F25" t="s" s="23">
        <v>189</v>
      </c>
      <c r="G25" t="s" s="21">
        <v>190</v>
      </c>
      <c r="H25" t="s" s="21">
        <v>43</v>
      </c>
      <c r="I25" t="s" s="21">
        <v>191</v>
      </c>
      <c r="J25" t="s" s="21">
        <v>47</v>
      </c>
      <c r="K25" t="s" s="21">
        <v>192</v>
      </c>
      <c r="L25" t="s" s="21">
        <v>193</v>
      </c>
      <c r="M25" t="s" s="21">
        <v>194</v>
      </c>
      <c r="N25" t="s" s="21">
        <v>39</v>
      </c>
      <c r="O25" t="s" s="21">
        <v>40</v>
      </c>
      <c r="P25" s="24">
        <v>1</v>
      </c>
      <c r="Q25" s="24">
        <v>59476</v>
      </c>
      <c r="R25" s="24">
        <v>0</v>
      </c>
      <c r="S25" s="24">
        <v>0</v>
      </c>
      <c r="T25" s="24">
        <v>20</v>
      </c>
      <c r="U25" s="24">
        <v>0.0031</v>
      </c>
      <c r="V25" s="24">
        <v>0.062</v>
      </c>
    </row>
    <row r="26" ht="13.75" customHeight="1">
      <c r="A26" t="s" s="21">
        <v>195</v>
      </c>
      <c r="B26" t="s" s="21">
        <v>196</v>
      </c>
      <c r="C26" t="s" s="21">
        <v>53</v>
      </c>
      <c r="D26" s="22"/>
      <c r="E26" t="s" s="17">
        <v>32</v>
      </c>
      <c r="F26" t="s" s="23">
        <v>197</v>
      </c>
      <c r="G26" t="s" s="21">
        <v>198</v>
      </c>
      <c r="H26" t="s" s="21">
        <v>53</v>
      </c>
      <c r="I26" t="s" s="21">
        <v>199</v>
      </c>
      <c r="J26" t="s" s="21">
        <v>47</v>
      </c>
      <c r="K26" t="s" s="21">
        <v>200</v>
      </c>
      <c r="L26" t="s" s="21">
        <v>201</v>
      </c>
      <c r="M26" t="s" s="21">
        <v>202</v>
      </c>
      <c r="N26" t="s" s="21">
        <v>39</v>
      </c>
      <c r="O26" t="s" s="21">
        <v>87</v>
      </c>
      <c r="P26" s="24">
        <v>1</v>
      </c>
      <c r="Q26" s="24">
        <v>3874505</v>
      </c>
      <c r="R26" s="24">
        <v>0</v>
      </c>
      <c r="S26" s="24">
        <v>0</v>
      </c>
      <c r="T26" s="24">
        <v>35</v>
      </c>
      <c r="U26" s="24">
        <v>0.0059</v>
      </c>
      <c r="V26" s="24">
        <v>0.2065</v>
      </c>
    </row>
    <row r="27" ht="13.75" customHeight="1">
      <c r="A27" t="s" s="21">
        <v>203</v>
      </c>
      <c r="B27" t="s" s="21">
        <v>204</v>
      </c>
      <c r="C27" t="s" s="21">
        <v>53</v>
      </c>
      <c r="D27" s="22"/>
      <c r="E27" t="s" s="17">
        <v>32</v>
      </c>
      <c r="F27" t="s" s="23">
        <v>205</v>
      </c>
      <c r="G27" t="s" s="21">
        <v>198</v>
      </c>
      <c r="H27" t="s" s="21">
        <v>53</v>
      </c>
      <c r="I27" t="s" s="21">
        <v>206</v>
      </c>
      <c r="J27" t="s" s="21">
        <v>47</v>
      </c>
      <c r="K27" t="s" s="21">
        <v>207</v>
      </c>
      <c r="L27" t="s" s="21">
        <v>208</v>
      </c>
      <c r="M27" t="s" s="21">
        <v>209</v>
      </c>
      <c r="N27" t="s" s="21">
        <v>39</v>
      </c>
      <c r="O27" t="s" s="21">
        <v>87</v>
      </c>
      <c r="P27" s="24">
        <v>1</v>
      </c>
      <c r="Q27" s="24">
        <v>11272053</v>
      </c>
      <c r="R27" s="24">
        <v>0</v>
      </c>
      <c r="S27" s="24">
        <v>0</v>
      </c>
      <c r="T27" s="24">
        <v>40</v>
      </c>
      <c r="U27" s="24">
        <v>0.0041</v>
      </c>
      <c r="V27" s="24">
        <v>0.164</v>
      </c>
    </row>
    <row r="28" ht="13.75" customHeight="1">
      <c r="A28" t="s" s="21">
        <v>210</v>
      </c>
      <c r="B28" t="s" s="21">
        <v>211</v>
      </c>
      <c r="C28" t="s" s="21">
        <v>53</v>
      </c>
      <c r="D28" s="22"/>
      <c r="E28" t="s" s="17">
        <v>32</v>
      </c>
      <c r="F28" t="s" s="23">
        <v>212</v>
      </c>
      <c r="G28" t="s" s="21">
        <v>81</v>
      </c>
      <c r="H28" t="s" s="21">
        <v>53</v>
      </c>
      <c r="I28" t="s" s="21">
        <v>213</v>
      </c>
      <c r="J28" t="s" s="21">
        <v>83</v>
      </c>
      <c r="K28" t="s" s="21">
        <v>214</v>
      </c>
      <c r="L28" t="s" s="21">
        <v>215</v>
      </c>
      <c r="M28" t="s" s="21">
        <v>216</v>
      </c>
      <c r="N28" t="s" s="21">
        <v>39</v>
      </c>
      <c r="O28" t="s" s="21">
        <v>40</v>
      </c>
      <c r="P28" s="24">
        <v>1</v>
      </c>
      <c r="Q28" s="24">
        <v>151853</v>
      </c>
      <c r="R28" s="24">
        <v>0</v>
      </c>
      <c r="S28" s="24">
        <v>0</v>
      </c>
      <c r="T28" s="24">
        <v>20</v>
      </c>
      <c r="U28" s="24">
        <v>0.0053</v>
      </c>
      <c r="V28" s="24">
        <v>0.106</v>
      </c>
    </row>
    <row r="29" ht="13.75" customHeight="1">
      <c r="A29" t="s" s="21">
        <v>217</v>
      </c>
      <c r="B29" t="s" s="21">
        <v>218</v>
      </c>
      <c r="C29" t="s" s="21">
        <v>43</v>
      </c>
      <c r="D29" s="22"/>
      <c r="E29" t="s" s="25">
        <v>63</v>
      </c>
      <c r="F29" t="s" s="23">
        <v>219</v>
      </c>
      <c r="G29" t="s" s="21">
        <v>220</v>
      </c>
      <c r="H29" t="s" s="21">
        <v>43</v>
      </c>
      <c r="I29" t="s" s="21">
        <v>221</v>
      </c>
      <c r="J29" t="s" s="21">
        <v>93</v>
      </c>
      <c r="K29" s="3"/>
      <c r="L29" t="s" s="21">
        <v>222</v>
      </c>
      <c r="M29" t="s" s="21">
        <v>223</v>
      </c>
      <c r="N29" t="s" s="21">
        <v>39</v>
      </c>
      <c r="O29" t="s" s="21">
        <v>40</v>
      </c>
      <c r="P29" s="24">
        <v>1</v>
      </c>
      <c r="Q29" s="24">
        <v>7185</v>
      </c>
      <c r="R29" s="24">
        <v>0</v>
      </c>
      <c r="S29" s="24">
        <v>0</v>
      </c>
      <c r="T29" s="24">
        <v>20</v>
      </c>
      <c r="U29" s="24">
        <v>0.0011</v>
      </c>
      <c r="V29" s="24">
        <v>0.022</v>
      </c>
    </row>
    <row r="30" ht="13.75" customHeight="1">
      <c r="A30" t="s" s="21">
        <v>224</v>
      </c>
      <c r="B30" t="s" s="21">
        <v>225</v>
      </c>
      <c r="C30" t="s" s="21">
        <v>43</v>
      </c>
      <c r="D30" s="22"/>
      <c r="E30" t="s" s="17">
        <v>32</v>
      </c>
      <c r="F30" t="s" s="23">
        <v>226</v>
      </c>
      <c r="G30" t="s" s="21">
        <v>108</v>
      </c>
      <c r="H30" t="s" s="21">
        <v>43</v>
      </c>
      <c r="I30" t="s" s="21">
        <v>227</v>
      </c>
      <c r="J30" t="s" s="21">
        <v>47</v>
      </c>
      <c r="K30" t="s" s="21">
        <v>228</v>
      </c>
      <c r="L30" t="s" s="21">
        <v>229</v>
      </c>
      <c r="M30" t="s" s="21">
        <v>230</v>
      </c>
      <c r="N30" t="s" s="21">
        <v>39</v>
      </c>
      <c r="O30" t="s" s="21">
        <v>40</v>
      </c>
      <c r="P30" s="24">
        <v>1</v>
      </c>
      <c r="Q30" s="24">
        <v>94915</v>
      </c>
      <c r="R30" s="24">
        <v>0</v>
      </c>
      <c r="S30" s="24">
        <v>0</v>
      </c>
      <c r="T30" s="24">
        <v>20</v>
      </c>
      <c r="U30" s="24">
        <v>0.0031</v>
      </c>
      <c r="V30" s="24">
        <v>0.062</v>
      </c>
    </row>
    <row r="31" ht="26.55" customHeight="1">
      <c r="A31" t="s" s="21">
        <v>231</v>
      </c>
      <c r="B31" t="s" s="21">
        <v>232</v>
      </c>
      <c r="C31" t="s" s="21">
        <v>53</v>
      </c>
      <c r="D31" s="22"/>
      <c r="E31" t="s" s="17">
        <v>32</v>
      </c>
      <c r="F31" t="s" s="23">
        <v>233</v>
      </c>
      <c r="G31" t="s" s="21">
        <v>198</v>
      </c>
      <c r="H31" t="s" s="21">
        <v>53</v>
      </c>
      <c r="I31" t="s" s="21">
        <v>234</v>
      </c>
      <c r="J31" t="s" s="21">
        <v>47</v>
      </c>
      <c r="K31" t="s" s="26">
        <v>235</v>
      </c>
      <c r="L31" t="s" s="21">
        <v>236</v>
      </c>
      <c r="M31" t="s" s="21">
        <v>237</v>
      </c>
      <c r="N31" t="s" s="21">
        <v>39</v>
      </c>
      <c r="O31" t="s" s="21">
        <v>87</v>
      </c>
      <c r="P31" s="24">
        <v>1</v>
      </c>
      <c r="Q31" s="24">
        <v>9525242</v>
      </c>
      <c r="R31" s="24">
        <v>0</v>
      </c>
      <c r="S31" s="24">
        <v>0</v>
      </c>
      <c r="T31" s="24">
        <v>25</v>
      </c>
      <c r="U31" s="24">
        <v>0.0065</v>
      </c>
      <c r="V31" s="24">
        <v>0.1625</v>
      </c>
    </row>
    <row r="32" ht="13.75" customHeight="1">
      <c r="A32" t="s" s="21">
        <v>238</v>
      </c>
      <c r="B32" t="s" s="21">
        <v>239</v>
      </c>
      <c r="C32" t="s" s="21">
        <v>43</v>
      </c>
      <c r="D32" s="22"/>
      <c r="E32" t="s" s="17">
        <v>32</v>
      </c>
      <c r="F32" t="s" s="23">
        <v>240</v>
      </c>
      <c r="G32" t="s" s="21">
        <v>45</v>
      </c>
      <c r="H32" t="s" s="21">
        <v>43</v>
      </c>
      <c r="I32" t="s" s="21">
        <v>241</v>
      </c>
      <c r="J32" t="s" s="21">
        <v>47</v>
      </c>
      <c r="K32" t="s" s="21">
        <v>242</v>
      </c>
      <c r="L32" t="s" s="21">
        <v>243</v>
      </c>
      <c r="M32" t="s" s="21">
        <v>244</v>
      </c>
      <c r="N32" t="s" s="21">
        <v>39</v>
      </c>
      <c r="O32" t="s" s="21">
        <v>40</v>
      </c>
      <c r="P32" s="24">
        <v>1</v>
      </c>
      <c r="Q32" s="24">
        <v>96412</v>
      </c>
      <c r="R32" s="24">
        <v>0</v>
      </c>
      <c r="S32" s="24">
        <v>0</v>
      </c>
      <c r="T32" s="24">
        <v>30</v>
      </c>
      <c r="U32" s="24">
        <v>0.0008</v>
      </c>
      <c r="V32" s="24">
        <v>0.024</v>
      </c>
    </row>
    <row r="33" ht="13.75" customHeight="1">
      <c r="A33" t="s" s="21">
        <v>245</v>
      </c>
      <c r="B33" t="s" s="21">
        <v>131</v>
      </c>
      <c r="C33" t="s" s="21">
        <v>246</v>
      </c>
      <c r="D33" s="22"/>
      <c r="E33" t="s" s="17">
        <v>32</v>
      </c>
      <c r="F33" t="s" s="23">
        <v>131</v>
      </c>
      <c r="G33" t="s" s="21">
        <v>132</v>
      </c>
      <c r="H33" t="s" s="21">
        <v>246</v>
      </c>
      <c r="I33" t="s" s="21">
        <v>133</v>
      </c>
      <c r="J33" t="s" s="21">
        <v>134</v>
      </c>
      <c r="K33" t="s" s="21">
        <v>247</v>
      </c>
      <c r="L33" t="s" s="21">
        <v>136</v>
      </c>
      <c r="M33" t="s" s="21">
        <v>137</v>
      </c>
      <c r="N33" t="s" s="21">
        <v>39</v>
      </c>
      <c r="O33" t="s" s="21">
        <v>40</v>
      </c>
      <c r="P33" s="24">
        <v>1</v>
      </c>
      <c r="Q33" s="24">
        <v>969</v>
      </c>
      <c r="R33" s="24">
        <v>0</v>
      </c>
      <c r="S33" s="24">
        <v>0</v>
      </c>
      <c r="T33" s="24">
        <v>10</v>
      </c>
      <c r="U33" s="24">
        <v>1.7954</v>
      </c>
      <c r="V33" s="24">
        <v>17.954</v>
      </c>
    </row>
    <row r="34" ht="13.75" customHeight="1">
      <c r="A34" t="s" s="21">
        <v>248</v>
      </c>
      <c r="B34" t="s" s="21">
        <v>249</v>
      </c>
      <c r="C34" t="s" s="21">
        <v>250</v>
      </c>
      <c r="D34" s="22"/>
      <c r="E34" t="s" s="25">
        <v>63</v>
      </c>
      <c r="F34" t="s" s="23">
        <v>249</v>
      </c>
      <c r="G34" t="s" s="21">
        <v>251</v>
      </c>
      <c r="H34" t="s" s="21">
        <v>250</v>
      </c>
      <c r="I34" t="s" s="21">
        <v>252</v>
      </c>
      <c r="J34" t="s" s="21">
        <v>134</v>
      </c>
      <c r="K34" s="3"/>
      <c r="L34" t="s" s="21">
        <v>253</v>
      </c>
      <c r="M34" t="s" s="21">
        <v>254</v>
      </c>
      <c r="N34" t="s" s="21">
        <v>39</v>
      </c>
      <c r="O34" t="s" s="21">
        <v>40</v>
      </c>
      <c r="P34" s="24">
        <v>1</v>
      </c>
      <c r="Q34" s="24">
        <v>10503</v>
      </c>
      <c r="R34" s="24">
        <v>0</v>
      </c>
      <c r="S34" s="24">
        <v>0</v>
      </c>
      <c r="T34" s="24">
        <v>5</v>
      </c>
      <c r="U34" s="24">
        <v>2.235</v>
      </c>
      <c r="V34" s="24">
        <v>11.175</v>
      </c>
    </row>
    <row r="35" ht="13.75" customHeight="1">
      <c r="A35" t="s" s="21">
        <v>255</v>
      </c>
      <c r="B35" t="s" s="21">
        <v>256</v>
      </c>
      <c r="C35" t="s" s="21">
        <v>257</v>
      </c>
      <c r="D35" s="22"/>
      <c r="E35" t="s" s="25">
        <v>63</v>
      </c>
      <c r="F35" t="s" s="23">
        <v>258</v>
      </c>
      <c r="G35" t="s" s="21">
        <v>259</v>
      </c>
      <c r="H35" t="s" s="21">
        <v>257</v>
      </c>
      <c r="I35" t="s" s="21">
        <v>260</v>
      </c>
      <c r="J35" t="s" s="21">
        <v>126</v>
      </c>
      <c r="K35" s="3"/>
      <c r="L35" t="s" s="21">
        <v>261</v>
      </c>
      <c r="M35" t="s" s="21">
        <v>262</v>
      </c>
      <c r="N35" t="s" s="21">
        <v>39</v>
      </c>
      <c r="O35" t="s" s="21">
        <v>40</v>
      </c>
      <c r="P35" s="24">
        <v>1</v>
      </c>
      <c r="Q35" s="24">
        <v>2780</v>
      </c>
      <c r="R35" s="24">
        <v>0</v>
      </c>
      <c r="S35" s="24">
        <v>0</v>
      </c>
      <c r="T35" s="24">
        <v>5</v>
      </c>
      <c r="U35" s="24">
        <v>0.2782</v>
      </c>
      <c r="V35" s="24">
        <v>1.391</v>
      </c>
    </row>
    <row r="36" ht="13.75" customHeight="1">
      <c r="A36" t="s" s="21">
        <v>263</v>
      </c>
      <c r="B36" t="s" s="21">
        <v>264</v>
      </c>
      <c r="C36" t="s" s="21">
        <v>43</v>
      </c>
      <c r="D36" s="22"/>
      <c r="E36" t="s" s="25">
        <v>63</v>
      </c>
      <c r="F36" t="s" s="23">
        <v>265</v>
      </c>
      <c r="G36" t="s" s="21">
        <v>91</v>
      </c>
      <c r="H36" t="s" s="21">
        <v>43</v>
      </c>
      <c r="I36" t="s" s="21">
        <v>266</v>
      </c>
      <c r="J36" t="s" s="21">
        <v>93</v>
      </c>
      <c r="K36" s="3"/>
      <c r="L36" t="s" s="21">
        <v>267</v>
      </c>
      <c r="M36" t="s" s="21">
        <v>268</v>
      </c>
      <c r="N36" t="s" s="21">
        <v>39</v>
      </c>
      <c r="O36" t="s" s="21">
        <v>40</v>
      </c>
      <c r="P36" s="24">
        <v>1</v>
      </c>
      <c r="Q36" s="24">
        <v>12985</v>
      </c>
      <c r="R36" s="24">
        <v>0</v>
      </c>
      <c r="S36" s="24">
        <v>0</v>
      </c>
      <c r="T36" s="24">
        <v>20</v>
      </c>
      <c r="U36" s="24">
        <v>0.0007</v>
      </c>
      <c r="V36" s="24">
        <v>0.014</v>
      </c>
    </row>
    <row r="37" ht="13.75" customHeight="1">
      <c r="A37" t="s" s="21">
        <v>269</v>
      </c>
      <c r="B37" t="s" s="21">
        <v>270</v>
      </c>
      <c r="C37" t="s" s="21">
        <v>271</v>
      </c>
      <c r="D37" s="22"/>
      <c r="E37" t="s" s="25">
        <v>63</v>
      </c>
      <c r="F37" t="s" s="23">
        <v>270</v>
      </c>
      <c r="G37" t="s" s="21">
        <v>272</v>
      </c>
      <c r="H37" t="s" s="21">
        <v>271</v>
      </c>
      <c r="I37" t="s" s="21">
        <v>273</v>
      </c>
      <c r="J37" t="s" s="21">
        <v>274</v>
      </c>
      <c r="K37" s="3"/>
      <c r="L37" t="s" s="21">
        <v>275</v>
      </c>
      <c r="M37" t="s" s="21">
        <v>276</v>
      </c>
      <c r="N37" t="s" s="21">
        <v>39</v>
      </c>
      <c r="O37" t="s" s="21">
        <v>40</v>
      </c>
      <c r="P37" s="24">
        <v>1</v>
      </c>
      <c r="Q37" s="24">
        <v>89551</v>
      </c>
      <c r="R37" s="24">
        <v>0</v>
      </c>
      <c r="S37" s="24">
        <v>0</v>
      </c>
      <c r="T37" s="24">
        <v>19</v>
      </c>
      <c r="U37" s="24">
        <v>0.0351</v>
      </c>
      <c r="V37" s="24">
        <v>0.6669</v>
      </c>
    </row>
    <row r="38" ht="13.75" customHeight="1">
      <c r="A38" t="s" s="21">
        <v>277</v>
      </c>
      <c r="B38" t="s" s="21">
        <v>278</v>
      </c>
      <c r="C38" t="s" s="21">
        <v>279</v>
      </c>
      <c r="D38" s="22"/>
      <c r="E38" t="s" s="25">
        <v>63</v>
      </c>
      <c r="F38" t="s" s="23">
        <v>280</v>
      </c>
      <c r="G38" t="s" s="21">
        <v>281</v>
      </c>
      <c r="H38" t="s" s="21">
        <v>279</v>
      </c>
      <c r="I38" t="s" s="21">
        <v>282</v>
      </c>
      <c r="J38" t="s" s="21">
        <v>283</v>
      </c>
      <c r="K38" s="3"/>
      <c r="L38" t="s" s="21">
        <v>284</v>
      </c>
      <c r="M38" t="s" s="21">
        <v>285</v>
      </c>
      <c r="N38" t="s" s="21">
        <v>39</v>
      </c>
      <c r="O38" t="s" s="21">
        <v>40</v>
      </c>
      <c r="P38" s="24">
        <v>1</v>
      </c>
      <c r="Q38" s="24">
        <v>155998</v>
      </c>
      <c r="R38" s="24">
        <v>0</v>
      </c>
      <c r="S38" s="24">
        <v>0</v>
      </c>
      <c r="T38" s="24">
        <v>9</v>
      </c>
      <c r="U38" s="24">
        <v>0.0408</v>
      </c>
      <c r="V38" s="24">
        <v>0.3672</v>
      </c>
    </row>
    <row r="39" ht="13.75" customHeight="1">
      <c r="A39" t="s" s="21">
        <v>286</v>
      </c>
      <c r="B39" t="s" s="21">
        <v>287</v>
      </c>
      <c r="C39" t="s" s="21">
        <v>288</v>
      </c>
      <c r="D39" s="22"/>
      <c r="E39" t="s" s="25">
        <v>63</v>
      </c>
      <c r="F39" t="s" s="23">
        <v>289</v>
      </c>
      <c r="G39" t="s" s="21">
        <v>290</v>
      </c>
      <c r="H39" t="s" s="21">
        <v>288</v>
      </c>
      <c r="I39" t="s" s="21">
        <v>291</v>
      </c>
      <c r="J39" t="s" s="21">
        <v>158</v>
      </c>
      <c r="K39" s="3"/>
      <c r="L39" t="s" s="21">
        <v>292</v>
      </c>
      <c r="M39" t="s" s="21">
        <v>293</v>
      </c>
      <c r="N39" t="s" s="21">
        <v>39</v>
      </c>
      <c r="O39" t="s" s="21">
        <v>40</v>
      </c>
      <c r="P39" s="24">
        <v>1</v>
      </c>
      <c r="Q39" s="24">
        <v>40635</v>
      </c>
      <c r="R39" s="24">
        <v>0</v>
      </c>
      <c r="S39" s="24">
        <v>0</v>
      </c>
      <c r="T39" s="24">
        <v>9</v>
      </c>
      <c r="U39" s="24">
        <v>0.1366</v>
      </c>
      <c r="V39" s="24">
        <v>1.2294</v>
      </c>
    </row>
    <row r="40" ht="13.75" customHeight="1">
      <c r="A40" t="s" s="21">
        <v>294</v>
      </c>
      <c r="B40" t="s" s="21">
        <v>295</v>
      </c>
      <c r="C40" t="s" s="21">
        <v>296</v>
      </c>
      <c r="D40" s="22"/>
      <c r="E40" t="s" s="25">
        <v>63</v>
      </c>
      <c r="F40" t="s" s="23">
        <v>295</v>
      </c>
      <c r="G40" t="s" s="21">
        <v>297</v>
      </c>
      <c r="H40" t="s" s="21">
        <v>296</v>
      </c>
      <c r="I40" t="s" s="21">
        <v>298</v>
      </c>
      <c r="J40" t="s" s="21">
        <v>299</v>
      </c>
      <c r="K40" s="3"/>
      <c r="L40" t="s" s="21">
        <v>300</v>
      </c>
      <c r="M40" t="s" s="21">
        <v>301</v>
      </c>
      <c r="N40" t="s" s="21">
        <v>39</v>
      </c>
      <c r="O40" t="s" s="21">
        <v>40</v>
      </c>
      <c r="P40" s="24">
        <v>1</v>
      </c>
      <c r="Q40" s="24">
        <v>4299</v>
      </c>
      <c r="R40" s="24">
        <v>0</v>
      </c>
      <c r="S40" s="24">
        <v>0</v>
      </c>
      <c r="T40" s="24">
        <v>7</v>
      </c>
      <c r="U40" s="24">
        <v>0.1801</v>
      </c>
      <c r="V40" s="24">
        <v>1.2607</v>
      </c>
    </row>
    <row r="41" ht="13.75" customHeight="1">
      <c r="A41" t="s" s="21">
        <v>302</v>
      </c>
      <c r="B41" t="s" s="21">
        <v>303</v>
      </c>
      <c r="C41" t="s" s="21">
        <v>43</v>
      </c>
      <c r="D41" s="22"/>
      <c r="E41" t="s" s="27">
        <v>304</v>
      </c>
      <c r="F41" t="s" s="23">
        <v>305</v>
      </c>
      <c r="G41" t="s" s="21">
        <v>306</v>
      </c>
      <c r="H41" t="s" s="21">
        <v>43</v>
      </c>
      <c r="I41" t="s" s="21">
        <v>307</v>
      </c>
      <c r="J41" t="s" s="21">
        <v>308</v>
      </c>
      <c r="K41" t="s" s="21">
        <v>309</v>
      </c>
      <c r="L41" t="s" s="21">
        <v>310</v>
      </c>
      <c r="M41" t="s" s="21">
        <v>311</v>
      </c>
      <c r="N41" t="s" s="21">
        <v>312</v>
      </c>
      <c r="O41" t="s" s="21">
        <v>40</v>
      </c>
      <c r="P41" s="24">
        <v>53</v>
      </c>
      <c r="Q41" s="24">
        <v>0</v>
      </c>
      <c r="R41" s="24">
        <v>0</v>
      </c>
      <c r="S41" s="24">
        <v>0</v>
      </c>
      <c r="T41" s="24">
        <v>53</v>
      </c>
      <c r="U41" s="24">
        <v>0.1696</v>
      </c>
      <c r="V41" s="24">
        <v>8.988799999999999</v>
      </c>
    </row>
    <row r="42" ht="13.75" customHeight="1">
      <c r="A42" t="s" s="21">
        <v>313</v>
      </c>
      <c r="B42" t="s" s="21">
        <v>314</v>
      </c>
      <c r="C42" t="s" s="21">
        <v>43</v>
      </c>
      <c r="D42" s="22"/>
      <c r="E42" t="s" s="17">
        <v>32</v>
      </c>
      <c r="F42" t="s" s="23">
        <v>315</v>
      </c>
      <c r="G42" t="s" s="21">
        <v>316</v>
      </c>
      <c r="H42" t="s" s="21">
        <v>43</v>
      </c>
      <c r="I42" t="s" s="21">
        <v>317</v>
      </c>
      <c r="J42" t="s" s="21">
        <v>93</v>
      </c>
      <c r="K42" t="s" s="21">
        <v>102</v>
      </c>
      <c r="L42" t="s" s="21">
        <v>318</v>
      </c>
      <c r="M42" t="s" s="21">
        <v>319</v>
      </c>
      <c r="N42" t="s" s="21">
        <v>312</v>
      </c>
      <c r="O42" t="s" s="21">
        <v>40</v>
      </c>
      <c r="P42" s="24">
        <v>54</v>
      </c>
      <c r="Q42" s="24">
        <v>25</v>
      </c>
      <c r="R42" s="24">
        <v>0</v>
      </c>
      <c r="S42" s="24">
        <v>0</v>
      </c>
      <c r="T42" s="24">
        <v>54</v>
      </c>
      <c r="U42" s="24">
        <v>0.1672</v>
      </c>
      <c r="V42" s="24">
        <v>9.0288</v>
      </c>
    </row>
    <row r="43" ht="13.75" customHeight="1">
      <c r="A43" t="s" s="21">
        <v>320</v>
      </c>
      <c r="B43" t="s" s="21">
        <v>321</v>
      </c>
      <c r="C43" t="s" s="21">
        <v>322</v>
      </c>
      <c r="D43" s="22"/>
      <c r="E43" t="s" s="25">
        <v>63</v>
      </c>
      <c r="F43" t="s" s="23">
        <v>321</v>
      </c>
      <c r="G43" t="s" s="21">
        <v>323</v>
      </c>
      <c r="H43" t="s" s="21">
        <v>322</v>
      </c>
      <c r="I43" t="s" s="21">
        <v>324</v>
      </c>
      <c r="J43" t="s" s="21">
        <v>283</v>
      </c>
      <c r="K43" s="3"/>
      <c r="L43" t="s" s="21">
        <v>325</v>
      </c>
      <c r="M43" t="s" s="21">
        <v>326</v>
      </c>
      <c r="N43" t="s" s="21">
        <v>312</v>
      </c>
      <c r="O43" t="s" s="21">
        <v>40</v>
      </c>
      <c r="P43" s="24">
        <v>12</v>
      </c>
      <c r="Q43" s="24">
        <v>0</v>
      </c>
      <c r="R43" s="24">
        <v>0</v>
      </c>
      <c r="S43" s="24">
        <v>0</v>
      </c>
      <c r="T43" s="24">
        <v>12</v>
      </c>
      <c r="U43" s="24">
        <v>0.8042</v>
      </c>
      <c r="V43" s="24">
        <v>9.650399999999999</v>
      </c>
    </row>
    <row r="44" ht="13.75" customHeight="1">
      <c r="A44" t="s" s="21">
        <v>327</v>
      </c>
      <c r="B44" t="s" s="21">
        <v>328</v>
      </c>
      <c r="C44" t="s" s="21">
        <v>43</v>
      </c>
      <c r="D44" s="22"/>
      <c r="E44" t="s" s="17">
        <v>32</v>
      </c>
      <c r="F44" t="s" s="23">
        <v>329</v>
      </c>
      <c r="G44" t="s" s="21">
        <v>108</v>
      </c>
      <c r="H44" t="s" s="21">
        <v>43</v>
      </c>
      <c r="I44" t="s" s="21">
        <v>330</v>
      </c>
      <c r="J44" t="s" s="21">
        <v>47</v>
      </c>
      <c r="K44" t="s" s="21">
        <v>331</v>
      </c>
      <c r="L44" t="s" s="21">
        <v>332</v>
      </c>
      <c r="M44" t="s" s="21">
        <v>333</v>
      </c>
      <c r="N44" t="s" s="21">
        <v>312</v>
      </c>
      <c r="O44" t="s" s="21">
        <v>40</v>
      </c>
      <c r="P44" s="24">
        <v>7408</v>
      </c>
      <c r="Q44" s="24">
        <v>2605</v>
      </c>
      <c r="R44" s="24">
        <v>0</v>
      </c>
      <c r="S44" s="24">
        <v>0</v>
      </c>
      <c r="T44" s="24">
        <v>7408</v>
      </c>
      <c r="U44" s="24">
        <v>0.0012</v>
      </c>
      <c r="V44" s="24">
        <v>8.8896</v>
      </c>
    </row>
    <row r="45" ht="13.75" customHeight="1">
      <c r="A45" t="s" s="21">
        <v>334</v>
      </c>
      <c r="B45" t="s" s="21">
        <v>335</v>
      </c>
      <c r="C45" t="s" s="21">
        <v>336</v>
      </c>
      <c r="D45" s="22"/>
      <c r="E45" t="s" s="25">
        <v>63</v>
      </c>
      <c r="F45" t="s" s="23">
        <v>335</v>
      </c>
      <c r="G45" t="s" s="21">
        <v>337</v>
      </c>
      <c r="H45" t="s" s="21">
        <v>336</v>
      </c>
      <c r="I45" t="s" s="21">
        <v>338</v>
      </c>
      <c r="J45" t="s" s="21">
        <v>339</v>
      </c>
      <c r="K45" s="3"/>
      <c r="L45" t="s" s="21">
        <v>340</v>
      </c>
      <c r="M45" t="s" s="21">
        <v>341</v>
      </c>
      <c r="N45" t="s" s="21">
        <v>312</v>
      </c>
      <c r="O45" t="s" s="21">
        <v>40</v>
      </c>
      <c r="P45" s="24">
        <v>3</v>
      </c>
      <c r="Q45" s="24">
        <v>14</v>
      </c>
      <c r="R45" s="24">
        <v>0</v>
      </c>
      <c r="S45" s="24">
        <v>0</v>
      </c>
      <c r="T45" s="24">
        <v>5</v>
      </c>
      <c r="U45" s="24">
        <v>4.1631</v>
      </c>
      <c r="V45" s="24">
        <v>20.8155</v>
      </c>
    </row>
  </sheetData>
  <mergeCells count="9">
    <mergeCell ref="A1:N1"/>
    <mergeCell ref="A2:D2"/>
    <mergeCell ref="E2:H2"/>
    <mergeCell ref="A3:D3"/>
    <mergeCell ref="E3:H3"/>
    <mergeCell ref="I2:N3"/>
    <mergeCell ref="A4:D4"/>
    <mergeCell ref="E4:K4"/>
    <mergeCell ref="L4:V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5.4" customHeight="1" outlineLevelRow="0" outlineLevelCol="0"/>
  <cols>
    <col min="1" max="1" width="33.4688" style="28" customWidth="1"/>
    <col min="2" max="2" width="9.98438" style="28" customWidth="1"/>
    <col min="3" max="3" width="28.9531" style="28" customWidth="1"/>
    <col min="4" max="4" width="65.3984" style="28" customWidth="1"/>
    <col min="5" max="6" width="16.3516" style="28" customWidth="1"/>
    <col min="7" max="16384" width="16.3516" style="28" customWidth="1"/>
  </cols>
  <sheetData>
    <row r="1" ht="15.55" customHeight="1">
      <c r="A1" t="s" s="29">
        <v>342</v>
      </c>
      <c r="B1" s="29"/>
      <c r="C1" s="29"/>
      <c r="D1" s="29"/>
      <c r="E1" s="29"/>
      <c r="F1" s="29"/>
    </row>
    <row r="2" ht="13.1" customHeight="1">
      <c r="A2" t="s" s="30">
        <v>343</v>
      </c>
      <c r="B2" t="s" s="30">
        <v>344</v>
      </c>
      <c r="C2" t="s" s="30">
        <v>345</v>
      </c>
      <c r="D2" t="s" s="30">
        <v>346</v>
      </c>
      <c r="E2" s="31"/>
      <c r="F2" s="31"/>
    </row>
    <row r="3" ht="13.1" customHeight="1">
      <c r="A3" t="s" s="32">
        <v>33</v>
      </c>
      <c r="B3" s="33" cm="1">
        <f t="array" ref="B3">MAX(1,1+LEN($C3)-LEN(SUBSTITUTE($C3,",","")))</f>
        <v>1</v>
      </c>
      <c r="C3" t="s" s="34">
        <v>29</v>
      </c>
      <c r="D3" t="s" s="34">
        <v>38</v>
      </c>
      <c r="E3" s="35"/>
      <c r="F3" s="35"/>
    </row>
    <row r="4" ht="12.9" customHeight="1">
      <c r="A4" t="s" s="36">
        <v>44</v>
      </c>
      <c r="B4" s="37" cm="1">
        <f t="array" ref="B4">MAX(1,1+LEN($C4)-LEN(SUBSTITUTE($C4,",","")))</f>
        <v>5</v>
      </c>
      <c r="C4" t="s" s="38">
        <v>41</v>
      </c>
      <c r="D4" t="s" s="38">
        <v>50</v>
      </c>
      <c r="E4" s="39"/>
      <c r="F4" s="39"/>
    </row>
    <row r="5" ht="12.9" customHeight="1">
      <c r="A5" t="s" s="36">
        <v>54</v>
      </c>
      <c r="B5" s="37" cm="1">
        <f t="array" ref="B5">MAX(1,1+LEN($C5)-LEN(SUBSTITUTE($C5,",","")))</f>
        <v>1</v>
      </c>
      <c r="C5" t="s" s="38">
        <v>51</v>
      </c>
      <c r="D5" t="s" s="38">
        <v>59</v>
      </c>
      <c r="E5" s="39"/>
      <c r="F5" s="39"/>
    </row>
    <row r="6" ht="12.9" customHeight="1">
      <c r="A6" t="s" s="36">
        <v>61</v>
      </c>
      <c r="B6" s="37" cm="1">
        <f t="array" ref="B6">MAX(1,1+LEN($C6)-LEN(SUBSTITUTE($C6,",","")))</f>
        <v>1</v>
      </c>
      <c r="C6" t="s" s="38">
        <v>60</v>
      </c>
      <c r="D6" t="s" s="38">
        <v>68</v>
      </c>
      <c r="E6" s="39"/>
      <c r="F6" s="39"/>
    </row>
    <row r="7" ht="12.9" customHeight="1">
      <c r="A7" t="s" s="36">
        <v>70</v>
      </c>
      <c r="B7" s="37" cm="1">
        <f t="array" ref="B7">MAX(1,1+LEN($C7)-LEN(SUBSTITUTE($C7,",","")))</f>
        <v>1</v>
      </c>
      <c r="C7" t="s" s="38">
        <v>69</v>
      </c>
      <c r="D7" t="s" s="38">
        <v>76</v>
      </c>
      <c r="E7" s="39"/>
      <c r="F7" s="39"/>
    </row>
    <row r="8" ht="12.9" customHeight="1">
      <c r="A8" t="s" s="36">
        <v>80</v>
      </c>
      <c r="B8" s="37" cm="1">
        <f t="array" ref="B8">MAX(1,1+LEN($C8)-LEN(SUBSTITUTE($C8,",","")))</f>
        <v>1</v>
      </c>
      <c r="C8" t="s" s="38">
        <v>77</v>
      </c>
      <c r="D8" t="s" s="38">
        <v>86</v>
      </c>
      <c r="E8" s="39"/>
      <c r="F8" s="39"/>
    </row>
    <row r="9" ht="12.9" customHeight="1">
      <c r="A9" t="s" s="36">
        <v>90</v>
      </c>
      <c r="B9" s="37" cm="1">
        <f t="array" ref="B9">MAX(1,1+LEN($C9)-LEN(SUBSTITUTE($C9,",","")))</f>
        <v>1</v>
      </c>
      <c r="C9" t="s" s="38">
        <v>88</v>
      </c>
      <c r="D9" t="s" s="38">
        <v>95</v>
      </c>
      <c r="E9" s="39"/>
      <c r="F9" s="39"/>
    </row>
    <row r="10" ht="12.9" customHeight="1">
      <c r="A10" t="s" s="36">
        <v>97</v>
      </c>
      <c r="B10" s="37" cm="1">
        <f t="array" ref="B10">MAX(1,1+LEN($C10)-LEN(SUBSTITUTE($C10,",","")))</f>
        <v>3</v>
      </c>
      <c r="C10" t="s" s="38">
        <v>96</v>
      </c>
      <c r="D10" t="s" s="38">
        <v>104</v>
      </c>
      <c r="E10" s="39"/>
      <c r="F10" s="39"/>
    </row>
    <row r="11" ht="12.9" customHeight="1">
      <c r="A11" t="s" s="36">
        <v>107</v>
      </c>
      <c r="B11" s="37" cm="1">
        <f t="array" ref="B11">MAX(1,1+LEN($C11)-LEN(SUBSTITUTE($C11,",","")))</f>
        <v>5</v>
      </c>
      <c r="C11" t="s" s="38">
        <v>105</v>
      </c>
      <c r="D11" t="s" s="38">
        <v>111</v>
      </c>
      <c r="E11" s="39"/>
      <c r="F11" s="39"/>
    </row>
    <row r="12" ht="12.9" customHeight="1">
      <c r="A12" t="s" s="36">
        <v>113</v>
      </c>
      <c r="B12" s="37" cm="1">
        <f t="array" ref="B12">MAX(1,1+LEN($C12)-LEN(SUBSTITUTE($C12,",","")))</f>
        <v>1</v>
      </c>
      <c r="C12" t="s" s="38">
        <v>112</v>
      </c>
      <c r="D12" t="s" s="38">
        <v>119</v>
      </c>
      <c r="E12" s="39"/>
      <c r="F12" s="39"/>
    </row>
    <row r="13" ht="12.9" customHeight="1">
      <c r="A13" t="s" s="36">
        <v>123</v>
      </c>
      <c r="B13" s="37" cm="1">
        <f t="array" ref="B13">MAX(1,1+LEN($C13)-LEN(SUBSTITUTE($C13,",","")))</f>
        <v>1</v>
      </c>
      <c r="C13" t="s" s="38">
        <v>120</v>
      </c>
      <c r="D13" t="s" s="38">
        <v>128</v>
      </c>
      <c r="E13" s="39"/>
      <c r="F13" s="39"/>
    </row>
    <row r="14" ht="12.9" customHeight="1">
      <c r="A14" t="s" s="36">
        <v>131</v>
      </c>
      <c r="B14" s="37" cm="1">
        <f t="array" ref="B14">MAX(1,1+LEN($C14)-LEN(SUBSTITUTE($C14,",","")))</f>
        <v>1</v>
      </c>
      <c r="C14" t="s" s="38">
        <v>129</v>
      </c>
      <c r="D14" t="s" s="38">
        <v>137</v>
      </c>
      <c r="E14" s="39"/>
      <c r="F14" s="39"/>
    </row>
    <row r="15" ht="12.9" customHeight="1">
      <c r="A15" t="s" s="36">
        <v>139</v>
      </c>
      <c r="B15" s="37" cm="1">
        <f t="array" ref="B15">MAX(1,1+LEN($C15)-LEN(SUBSTITUTE($C15,",","")))</f>
        <v>1</v>
      </c>
      <c r="C15" t="s" s="38">
        <v>138</v>
      </c>
      <c r="D15" t="s" s="38">
        <v>144</v>
      </c>
      <c r="E15" s="39"/>
      <c r="F15" s="39"/>
    </row>
    <row r="16" ht="12.9" customHeight="1">
      <c r="A16" t="s" s="36">
        <v>146</v>
      </c>
      <c r="B16" s="37" cm="1">
        <f t="array" ref="B16">MAX(1,1+LEN($C16)-LEN(SUBSTITUTE($C16,",","")))</f>
        <v>1</v>
      </c>
      <c r="C16" t="s" s="38">
        <v>145</v>
      </c>
      <c r="D16" t="s" s="38">
        <v>152</v>
      </c>
      <c r="E16" s="39"/>
      <c r="F16" s="39"/>
    </row>
    <row r="17" ht="12.9" customHeight="1">
      <c r="A17" t="s" s="36">
        <v>154</v>
      </c>
      <c r="B17" s="37" cm="1">
        <f t="array" ref="B17">MAX(1,1+LEN($C17)-LEN(SUBSTITUTE($C17,",","")))</f>
        <v>1</v>
      </c>
      <c r="C17" t="s" s="38">
        <v>153</v>
      </c>
      <c r="D17" t="s" s="38">
        <v>160</v>
      </c>
      <c r="E17" s="39"/>
      <c r="F17" s="39"/>
    </row>
    <row r="18" ht="12.9" customHeight="1">
      <c r="A18" t="s" s="36">
        <v>163</v>
      </c>
      <c r="B18" s="37" cm="1">
        <f t="array" ref="B18">MAX(1,1+LEN($C18)-LEN(SUBSTITUTE($C18,",","")))</f>
        <v>2</v>
      </c>
      <c r="C18" t="s" s="38">
        <v>161</v>
      </c>
      <c r="D18" t="s" s="38">
        <v>167</v>
      </c>
      <c r="E18" s="39"/>
      <c r="F18" s="39"/>
    </row>
    <row r="19" ht="12.9" customHeight="1">
      <c r="A19" t="s" s="36">
        <v>170</v>
      </c>
      <c r="B19" s="37" cm="1">
        <f t="array" ref="B19">MAX(1,1+LEN($C19)-LEN(SUBSTITUTE($C19,",","")))</f>
        <v>9</v>
      </c>
      <c r="C19" t="s" s="38">
        <v>168</v>
      </c>
      <c r="D19" t="s" s="38">
        <v>173</v>
      </c>
      <c r="E19" s="39"/>
      <c r="F19" s="39"/>
    </row>
    <row r="20" ht="12.9" customHeight="1">
      <c r="A20" t="s" s="36">
        <v>176</v>
      </c>
      <c r="B20" s="37" cm="1">
        <f t="array" ref="B20">MAX(1,1+LEN($C20)-LEN(SUBSTITUTE($C20,",","")))</f>
        <v>1</v>
      </c>
      <c r="C20" t="s" s="38">
        <v>174</v>
      </c>
      <c r="D20" t="s" s="38">
        <v>180</v>
      </c>
      <c r="E20" s="39"/>
      <c r="F20" s="39"/>
    </row>
    <row r="21" ht="12.9" customHeight="1">
      <c r="A21" t="s" s="36">
        <v>183</v>
      </c>
      <c r="B21" s="37" cm="1">
        <f t="array" ref="B21">MAX(1,1+LEN($C21)-LEN(SUBSTITUTE($C21,",","")))</f>
        <v>3</v>
      </c>
      <c r="C21" t="s" s="38">
        <v>181</v>
      </c>
      <c r="D21" t="s" s="38">
        <v>186</v>
      </c>
      <c r="E21" s="39"/>
      <c r="F21" s="39"/>
    </row>
    <row r="22" ht="12.9" customHeight="1">
      <c r="A22" t="s" s="36">
        <v>189</v>
      </c>
      <c r="B22" s="37" cm="1">
        <f t="array" ref="B22">MAX(1,1+LEN($C22)-LEN(SUBSTITUTE($C22,",","")))</f>
        <v>1</v>
      </c>
      <c r="C22" t="s" s="38">
        <v>187</v>
      </c>
      <c r="D22" t="s" s="38">
        <v>194</v>
      </c>
      <c r="E22" s="39"/>
      <c r="F22" s="39"/>
    </row>
    <row r="23" ht="12.9" customHeight="1">
      <c r="A23" t="s" s="36">
        <v>197</v>
      </c>
      <c r="B23" s="37" cm="1">
        <f t="array" ref="B23">MAX(1,1+LEN($C23)-LEN(SUBSTITUTE($C23,",","")))</f>
        <v>5</v>
      </c>
      <c r="C23" t="s" s="38">
        <v>195</v>
      </c>
      <c r="D23" t="s" s="38">
        <v>202</v>
      </c>
      <c r="E23" s="39"/>
      <c r="F23" s="39"/>
    </row>
    <row r="24" ht="12.9" customHeight="1">
      <c r="A24" t="s" s="36">
        <v>205</v>
      </c>
      <c r="B24" s="37" cm="1">
        <f t="array" ref="B24">MAX(1,1+LEN($C24)-LEN(SUBSTITUTE($C24,",","")))</f>
        <v>6</v>
      </c>
      <c r="C24" t="s" s="38">
        <v>203</v>
      </c>
      <c r="D24" t="s" s="38">
        <v>209</v>
      </c>
      <c r="E24" s="39"/>
      <c r="F24" s="39"/>
    </row>
    <row r="25" ht="12.9" customHeight="1">
      <c r="A25" t="s" s="36">
        <v>212</v>
      </c>
      <c r="B25" s="37" cm="1">
        <f t="array" ref="B25">MAX(1,1+LEN($C25)-LEN(SUBSTITUTE($C25,",","")))</f>
        <v>1</v>
      </c>
      <c r="C25" t="s" s="38">
        <v>210</v>
      </c>
      <c r="D25" t="s" s="38">
        <v>216</v>
      </c>
      <c r="E25" s="39"/>
      <c r="F25" s="39"/>
    </row>
    <row r="26" ht="12.9" customHeight="1">
      <c r="A26" t="s" s="36">
        <v>219</v>
      </c>
      <c r="B26" s="37" cm="1">
        <f t="array" ref="B26">MAX(1,1+LEN($C26)-LEN(SUBSTITUTE($C26,",","")))</f>
        <v>2</v>
      </c>
      <c r="C26" t="s" s="38">
        <v>217</v>
      </c>
      <c r="D26" t="s" s="38">
        <v>223</v>
      </c>
      <c r="E26" s="39"/>
      <c r="F26" s="39"/>
    </row>
    <row r="27" ht="12.9" customHeight="1">
      <c r="A27" t="s" s="36">
        <v>226</v>
      </c>
      <c r="B27" s="37" cm="1">
        <f t="array" ref="B27">MAX(1,1+LEN($C27)-LEN(SUBSTITUTE($C27,",","")))</f>
        <v>2</v>
      </c>
      <c r="C27" t="s" s="38">
        <v>224</v>
      </c>
      <c r="D27" t="s" s="38">
        <v>230</v>
      </c>
      <c r="E27" s="39"/>
      <c r="F27" s="39"/>
    </row>
    <row r="28" ht="12.9" customHeight="1">
      <c r="A28" t="s" s="36">
        <v>233</v>
      </c>
      <c r="B28" s="37" cm="1">
        <f t="array" ref="B28">MAX(1,1+LEN($C28)-LEN(SUBSTITUTE($C28,",","")))</f>
        <v>3</v>
      </c>
      <c r="C28" t="s" s="38">
        <v>231</v>
      </c>
      <c r="D28" t="s" s="38">
        <v>237</v>
      </c>
      <c r="E28" s="39"/>
      <c r="F28" s="39"/>
    </row>
    <row r="29" ht="12.9" customHeight="1">
      <c r="A29" t="s" s="36">
        <v>240</v>
      </c>
      <c r="B29" s="37" cm="1">
        <f t="array" ref="B29">MAX(1,1+LEN($C29)-LEN(SUBSTITUTE($C29,",","")))</f>
        <v>4</v>
      </c>
      <c r="C29" t="s" s="38">
        <v>238</v>
      </c>
      <c r="D29" t="s" s="38">
        <v>244</v>
      </c>
      <c r="E29" s="39"/>
      <c r="F29" s="39"/>
    </row>
    <row r="30" ht="12.9" customHeight="1">
      <c r="A30" t="s" s="36">
        <v>131</v>
      </c>
      <c r="B30" s="37" cm="1">
        <f t="array" ref="B30">MAX(1,1+LEN($C30)-LEN(SUBSTITUTE($C30,",","")))</f>
        <v>1</v>
      </c>
      <c r="C30" t="s" s="38">
        <v>245</v>
      </c>
      <c r="D30" t="s" s="38">
        <v>137</v>
      </c>
      <c r="E30" s="39"/>
      <c r="F30" s="39"/>
    </row>
    <row r="31" ht="12.9" customHeight="1">
      <c r="A31" t="s" s="36">
        <v>249</v>
      </c>
      <c r="B31" s="37" cm="1">
        <f t="array" ref="B31">MAX(1,1+LEN($C31)-LEN(SUBSTITUTE($C31,",","")))</f>
        <v>1</v>
      </c>
      <c r="C31" t="s" s="38">
        <v>248</v>
      </c>
      <c r="D31" t="s" s="38">
        <v>254</v>
      </c>
      <c r="E31" s="39"/>
      <c r="F31" s="39"/>
    </row>
    <row r="32" ht="12.9" customHeight="1">
      <c r="A32" t="s" s="36">
        <v>258</v>
      </c>
      <c r="B32" s="37" cm="1">
        <f t="array" ref="B32">MAX(1,1+LEN($C32)-LEN(SUBSTITUTE($C32,",","")))</f>
        <v>1</v>
      </c>
      <c r="C32" t="s" s="38">
        <v>255</v>
      </c>
      <c r="D32" t="s" s="38">
        <v>262</v>
      </c>
      <c r="E32" s="39"/>
      <c r="F32" s="39"/>
    </row>
    <row r="33" ht="12.9" customHeight="1">
      <c r="A33" t="s" s="36">
        <v>265</v>
      </c>
      <c r="B33" s="37" cm="1">
        <f t="array" ref="B33">MAX(1,1+LEN($C33)-LEN(SUBSTITUTE($C33,",","")))</f>
        <v>2</v>
      </c>
      <c r="C33" t="s" s="38">
        <v>263</v>
      </c>
      <c r="D33" t="s" s="38">
        <v>268</v>
      </c>
      <c r="E33" s="39"/>
      <c r="F33" s="39"/>
    </row>
    <row r="34" ht="12.9" customHeight="1">
      <c r="A34" t="s" s="36">
        <v>270</v>
      </c>
      <c r="B34" s="37" cm="1">
        <f t="array" ref="B34">MAX(1,1+LEN($C34)-LEN(SUBSTITUTE($C34,",","")))</f>
        <v>3</v>
      </c>
      <c r="C34" t="s" s="38">
        <v>269</v>
      </c>
      <c r="D34" t="s" s="38">
        <v>276</v>
      </c>
      <c r="E34" s="39"/>
      <c r="F34" s="39"/>
    </row>
    <row r="35" ht="12.9" customHeight="1">
      <c r="A35" t="s" s="36">
        <v>280</v>
      </c>
      <c r="B35" s="37" cm="1">
        <f t="array" ref="B35">MAX(1,1+LEN($C35)-LEN(SUBSTITUTE($C35,",","")))</f>
        <v>1</v>
      </c>
      <c r="C35" t="s" s="38">
        <v>277</v>
      </c>
      <c r="D35" t="s" s="38">
        <v>285</v>
      </c>
      <c r="E35" s="39"/>
      <c r="F35" s="39"/>
    </row>
    <row r="36" ht="12.9" customHeight="1">
      <c r="A36" t="s" s="36">
        <v>289</v>
      </c>
      <c r="B36" s="37" cm="1">
        <f t="array" ref="B36">MAX(1,1+LEN($C36)-LEN(SUBSTITUTE($C36,",","")))</f>
        <v>1</v>
      </c>
      <c r="C36" t="s" s="38">
        <v>286</v>
      </c>
      <c r="D36" t="s" s="38">
        <v>293</v>
      </c>
      <c r="E36" s="39"/>
      <c r="F36" s="39"/>
    </row>
    <row r="37" ht="12.9" customHeight="1">
      <c r="A37" t="s" s="36">
        <v>295</v>
      </c>
      <c r="B37" s="37" cm="1">
        <f t="array" ref="B37">MAX(1,1+LEN($C37)-LEN(SUBSTITUTE($C37,",","")))</f>
        <v>1</v>
      </c>
      <c r="C37" t="s" s="38">
        <v>294</v>
      </c>
      <c r="D37" t="s" s="38">
        <v>301</v>
      </c>
      <c r="E37" s="39"/>
      <c r="F37" s="39"/>
    </row>
    <row r="38" ht="12.9" customHeight="1">
      <c r="A38" t="s" s="36">
        <v>305</v>
      </c>
      <c r="B38" s="37" cm="1">
        <f t="array" ref="B38">MAX(1,1+LEN($C38)-LEN(SUBSTITUTE($C38,",","")))</f>
        <v>1</v>
      </c>
      <c r="C38" t="s" s="38">
        <v>302</v>
      </c>
      <c r="D38" t="s" s="38">
        <v>311</v>
      </c>
      <c r="E38" s="39"/>
      <c r="F38" s="39"/>
    </row>
    <row r="39" ht="12.9" customHeight="1">
      <c r="A39" t="s" s="36">
        <v>315</v>
      </c>
      <c r="B39" s="37" cm="1">
        <f t="array" ref="B39">MAX(1,1+LEN($C39)-LEN(SUBSTITUTE($C39,",","")))</f>
        <v>6</v>
      </c>
      <c r="C39" t="s" s="38">
        <v>313</v>
      </c>
      <c r="D39" t="s" s="38">
        <v>319</v>
      </c>
      <c r="E39" s="39"/>
      <c r="F39" s="39"/>
    </row>
    <row r="40" ht="12.9" customHeight="1">
      <c r="A40" t="s" s="36">
        <v>321</v>
      </c>
      <c r="B40" s="37" cm="1">
        <f t="array" ref="B40">MAX(1,1+LEN($C40)-LEN(SUBSTITUTE($C40,",","")))</f>
        <v>1</v>
      </c>
      <c r="C40" t="s" s="38">
        <v>320</v>
      </c>
      <c r="D40" t="s" s="38">
        <v>326</v>
      </c>
      <c r="E40" s="39"/>
      <c r="F40" s="39"/>
    </row>
    <row r="41" ht="12.9" customHeight="1">
      <c r="A41" t="s" s="36">
        <v>329</v>
      </c>
      <c r="B41" s="37" cm="1">
        <f t="array" ref="B41">MAX(1,1+LEN($C41)-LEN(SUBSTITUTE($C41,",","")))</f>
        <v>1</v>
      </c>
      <c r="C41" t="s" s="38">
        <v>327</v>
      </c>
      <c r="D41" t="s" s="38">
        <v>333</v>
      </c>
      <c r="E41" s="39"/>
      <c r="F41" s="39"/>
    </row>
    <row r="42" ht="12.9" customHeight="1">
      <c r="A42" t="s" s="36">
        <v>335</v>
      </c>
      <c r="B42" s="37" cm="1">
        <f t="array" ref="B42">MAX(1,1+LEN($C42)-LEN(SUBSTITUTE($C42,",","")))</f>
        <v>1</v>
      </c>
      <c r="C42" t="s" s="38">
        <v>334</v>
      </c>
      <c r="D42" t="s" s="38">
        <v>341</v>
      </c>
      <c r="E42" s="39"/>
      <c r="F42" s="3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